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17942ca4f4544fd2/Goel Services/fix extimating files/"/>
    </mc:Choice>
  </mc:AlternateContent>
  <xr:revisionPtr revIDLastSave="0" documentId="8_{6362FF68-1AAA-4750-916F-C83BC278718B}" xr6:coauthVersionLast="47" xr6:coauthVersionMax="47" xr10:uidLastSave="{00000000-0000-0000-0000-000000000000}"/>
  <bookViews>
    <workbookView xWindow="-120" yWindow="-120" windowWidth="38640" windowHeight="21240" firstSheet="1" activeTab="1" xr2:uid="{00000000-000D-0000-FFFF-FFFF00000000}"/>
  </bookViews>
  <sheets>
    <sheet name="Startup" sheetId="64" state="hidden" r:id="rId1"/>
    <sheet name="Base Bid" sheetId="54" r:id="rId2"/>
    <sheet name="Budget" sheetId="65" state="hidden" r:id="rId3"/>
    <sheet name="Labor Costs" sheetId="68" r:id="rId4"/>
    <sheet name="Labor Costs Worksheet" sheetId="66" r:id="rId5"/>
    <sheet name="Spec - HVAC Pipe" sheetId="55" state="hidden" r:id="rId6"/>
    <sheet name="Spec - Plumbing" sheetId="56" state="hidden" r:id="rId7"/>
    <sheet name="Spec - Duct" sheetId="57" state="hidden" r:id="rId8"/>
    <sheet name="Quantites and Price from Mike" sheetId="58" state="hidden" r:id="rId9"/>
    <sheet name="Proposal Sheet" sheetId="59" state="hidden" r:id="rId10"/>
    <sheet name="Exclusions" sheetId="60" state="hidden" r:id="rId11"/>
    <sheet name="VRF and Lists" sheetId="61" r:id="rId12"/>
    <sheet name="Followup" sheetId="62" state="hidden" r:id="rId13"/>
  </sheets>
  <definedNames>
    <definedName name="_xlnm._FilterDatabase" localSheetId="3" hidden="1">'Labor Costs'!$H$3:$H$5</definedName>
    <definedName name="_xlnm._FilterDatabase" localSheetId="4" hidden="1">'Labor Costs Worksheet'!$B$1:$C$5</definedName>
    <definedName name="Address">Followup!$H$2:$H$400</definedName>
    <definedName name="Applicable">Startup!$O$2:$O$5</definedName>
    <definedName name="Apprenticable">'Base Bid'!$F$13</definedName>
    <definedName name="Are_they_part_of_an_AFL_CIO_Affiliated_Union?">Followup!$AH$2:$AH$400</definedName>
    <definedName name="Average_no_people">'Base Bid'!$H$7</definedName>
    <definedName name="Base_rate_total">'VRF and Lists'!$F$2</definedName>
    <definedName name="Base_Rate_Wage">'VRF and Lists'!$F$4</definedName>
    <definedName name="Bid?">'Base Bid'!#REF!</definedName>
    <definedName name="Bid_All">'Base Bid'!#REF!</definedName>
    <definedName name="Bid_Call_for_Pricing">'Base Bid'!#REF!</definedName>
    <definedName name="Bid_Clerk">'Base Bid'!$AB$4:$AB$7</definedName>
    <definedName name="Bid_Ductwork?">'Base Bid'!#REF!</definedName>
    <definedName name="Bid_Percentage">'Base Bid'!#REF!</definedName>
    <definedName name="Bid_Piping?">'Base Bid'!#REF!</definedName>
    <definedName name="Bidding_company">'VRF and Lists'!$S$2:$S$7</definedName>
    <definedName name="Breakout?">'Base Bid'!#REF!</definedName>
    <definedName name="Captain">'Base Bid'!$AA$4:$AA$7</definedName>
    <definedName name="CBA_Fringe">'VRF and Lists'!$F$3</definedName>
    <definedName name="Check_Weekly?">Followup!$AM$2:$AM$400</definedName>
    <definedName name="Child_Companies">Followup!$AN$2:$AN$400</definedName>
    <definedName name="Citizen">'Base Bid'!$F$12</definedName>
    <definedName name="City">Followup!$I$2:$I$400</definedName>
    <definedName name="Closing_Ratio">Followup!$N$2:$N$400</definedName>
    <definedName name="Code">'Quantites and Price from Mike'!$D$4:$D$117</definedName>
    <definedName name="Company">Followup!$C$2:$C$400</definedName>
    <definedName name="Company_ID">Followup!$A$2:$A$400</definedName>
    <definedName name="Company_Selected">'Base Bid'!#REF!</definedName>
    <definedName name="Company_Status">Followup!$M$2:$M$400</definedName>
    <definedName name="Company_Type">Followup!$B$2:$B$400</definedName>
    <definedName name="Contact">Followup!$E$2:$E$400</definedName>
    <definedName name="Country">Followup!$P$2:$P$400</definedName>
    <definedName name="Days_Per_Week">'Base Bid'!$F$5</definedName>
    <definedName name="DCB">Startup!$M$5</definedName>
    <definedName name="Do_we_bid_both_piping_and_duct_to_them?">Followup!$AG$2:$AG$400</definedName>
    <definedName name="Do_we_bid_to_them?">Followup!$U$2:$U$400</definedName>
    <definedName name="Do_we_make_them_call_for_pricing_as_we_get_no_feedback?">Followup!$Z$2:$Z$400</definedName>
    <definedName name="Do_we_only_bid_ductwork_to_them?">Followup!$Y$2:$Y$400</definedName>
    <definedName name="Do_we_only_bid_piping_to_them?">Followup!$X$2:$X$400</definedName>
    <definedName name="Do_we_release_breakouts_to_them?">Followup!$V$2:$V$400</definedName>
    <definedName name="Domain">Startup!$N$2:$N$5</definedName>
    <definedName name="Duct_1">'Base Bid'!$AC$4:$AC$7</definedName>
    <definedName name="Duct_2">'Base Bid'!$AD$4:$AD$7</definedName>
    <definedName name="Duct_breakout_no_Quantities">'Quantites and Price from Mike'!$F$74</definedName>
    <definedName name="Duct_breakout_with_Quantities">'Quantites and Price from Mike'!$G$74</definedName>
    <definedName name="Duct_breakout_with_Quantities_END">'Quantites and Price from Mike'!$H$74</definedName>
    <definedName name="DUCT_Code">'Quantites and Price from Mike'!$D$77:$D$100</definedName>
    <definedName name="Duct_Cost_by_System">'Quantites and Price from Mike'!$E$77:$E$100</definedName>
    <definedName name="Duct_Price">'Quantites and Price from Mike'!$E$74</definedName>
    <definedName name="DUCT_Qnt">'Quantites and Price from Mike'!$A$77:$A$100</definedName>
    <definedName name="DUCT_SYSTEM">'Quantites and Price from Mike'!$F$77:$F$100</definedName>
    <definedName name="DUCT_System_Name">'Quantites and Price from Mike'!$H$77:$H$100</definedName>
    <definedName name="DUCT_System_Name_NO_Release">'Quantites and Price from Mike'!$I$77:$I$100</definedName>
    <definedName name="DUCT_System_Name_Release_qnt">'Quantites and Price from Mike'!$J$77:$J$100</definedName>
    <definedName name="DUCT_Unit">'Quantites and Price from Mike'!$G$77:$G$100</definedName>
    <definedName name="Email">Followup!$F$2:$F$400</definedName>
    <definedName name="EQUIPMENT_Code">'Quantites and Price from Mike'!$D$104:$D$117</definedName>
    <definedName name="EQUIPMENT_Cost_by_System">'Quantites and Price from Mike'!$E$104:$E$117</definedName>
    <definedName name="Equipment_Price">'Quantites and Price from Mike'!$E$101</definedName>
    <definedName name="EQUIPMENT_Qnt">'Quantites and Price from Mike'!$A$104:$A$117</definedName>
    <definedName name="EQUIPMENT_SYSTEM">'Quantites and Price from Mike'!$F$104:$F$117</definedName>
    <definedName name="EQUIPMENT_System_Name">'Quantites and Price from Mike'!$H$104:$H$117</definedName>
    <definedName name="EQUIPMENT_System_Name_NO_Release">'Quantites and Price from Mike'!$I$104:$I$117</definedName>
    <definedName name="EQUIPMENT_System_Name_Release_qnt">'Quantites and Price from Mike'!$J$104:$J$117</definedName>
    <definedName name="EQUIPMENT_Unit">'Quantites and Price from Mike'!$G$104:$G$117</definedName>
    <definedName name="Fax">Followup!$G$2:$G$400</definedName>
    <definedName name="FUTA">'Labor Costs Worksheet'!$F$20</definedName>
    <definedName name="FUTA__Rate">'VRF and Lists'!$Z$3:$Z$22</definedName>
    <definedName name="FUTA_RATE">'Labor Costs Worksheet'!$G$19</definedName>
    <definedName name="Goel">Startup!$M$3</definedName>
    <definedName name="GoelDC">Startup!$M$4</definedName>
    <definedName name="Hours_per_day">'Base Bid'!$F$4</definedName>
    <definedName name="Hours_Per_week">'Base Bid'!$F$6</definedName>
    <definedName name="Hours_per_worker">'Labor Costs Worksheet'!$E$18</definedName>
    <definedName name="HVAC_Area_Code">'Spec - HVAC Pipe'!$R$2:$R$73</definedName>
    <definedName name="HVAC_Area_Name">'Spec - HVAC Pipe'!$S$2:$S$73</definedName>
    <definedName name="HVAC_breakout_no_Quantities">'Quantites and Price from Mike'!$F$1</definedName>
    <definedName name="HVAC_breakout_with_Quantities">'Quantites and Price from Mike'!$G$1</definedName>
    <definedName name="HVAC_breakout_with_Quantities_END">'Quantites and Price from Mike'!$H$1</definedName>
    <definedName name="HVAC_Code">'Quantites and Price from Mike'!$D$4:$D$40</definedName>
    <definedName name="HVAC_Cost_by_System">'Quantites and Price from Mike'!$E$4:$E$40</definedName>
    <definedName name="HVAC_Material_Code">'Spec - HVAC Pipe'!$P$2:$P$73</definedName>
    <definedName name="HVAC_Material_Description">'Spec - HVAC Pipe'!$Q$2:$Q$73</definedName>
    <definedName name="HVAC_NAME">'Quantites and Price from Mike'!$J$4:$J$40</definedName>
    <definedName name="HVAC_PIPE">'Quantites and Price from Mike'!$F$4:$F$40</definedName>
    <definedName name="HVAC_Pipe_Size">'Spec - HVAC Pipe'!$U$2:$U$73</definedName>
    <definedName name="HVAC_Qnt">'Quantites and Price from Mike'!$A$4:$A$40</definedName>
    <definedName name="HVAC_System" localSheetId="5">'Spec - HVAC Pipe'!$M$2:$M$73</definedName>
    <definedName name="HVAC_SYSTEM">'Quantites and Price from Mike'!$F$4:$F$40</definedName>
    <definedName name="HVAC_System_Name">'Quantites and Price from Mike'!$H$4:$H$40</definedName>
    <definedName name="HVAC_System_Name_NO_Release">'Quantites and Price from Mike'!$I$4:$I$40</definedName>
    <definedName name="HVAC_System_Name_Release_qnt">'Quantites and Price from Mike'!$J$4:$J$40</definedName>
    <definedName name="HVAC_Systems___Abbreviations">'Spec - HVAC Pipe'!$N$2:$N$73</definedName>
    <definedName name="HVAC_Thickness">'Spec - HVAC Pipe'!$T$2:$T$73</definedName>
    <definedName name="HVAC_Unit" localSheetId="5">'Spec - HVAC Pipe'!$O$2:$O$73</definedName>
    <definedName name="HVAC_Unit">'Quantites and Price from Mike'!$G$4:$G$40</definedName>
    <definedName name="HVAC_WITHOUT_QNT">'Quantites and Price from Mike'!$I$4:$I$40</definedName>
    <definedName name="Hydronic_1">'Base Bid'!$AE$4:$AE$7</definedName>
    <definedName name="Hydronic_2">'Base Bid'!$AF$4:$AF$7</definedName>
    <definedName name="Hyrdonic_Price">'Quantites and Price from Mike'!$E$1</definedName>
    <definedName name="If_they_email_invites__DCB____What_email_do_they_send_bid_invites_to?">Followup!$AA$2:$AA$400</definedName>
    <definedName name="If_they_email_invites__Goel____What_email_do_they_send_bid_invites_to?">Followup!$R$2:$R$400</definedName>
    <definedName name="If_they_email_invites__Goel_DC____What_email_do_they_send_bid_invites_to?">Followup!$AB$2:$AB$400</definedName>
    <definedName name="JM_Rate">'Labor Costs Worksheet'!$H$35</definedName>
    <definedName name="JM_Rate_OT">'Labor Costs Worksheet'!$I$35</definedName>
    <definedName name="labor_rate">'Labor Costs'!$F$25</definedName>
    <definedName name="Lift_cost">'Base Bid'!$J$6</definedName>
    <definedName name="Lift_percentage">'Base Bid'!$J$5</definedName>
    <definedName name="Lifts_Needed">'Base Bid'!$J$4</definedName>
    <definedName name="Lifts_Per_Hour">'Base Bid'!$D$12</definedName>
    <definedName name="List">'VRF and Lists'!$P$2:$P$4</definedName>
    <definedName name="List_of_bidders">'Base Bid'!#REF!</definedName>
    <definedName name="Location_of_Bid_List__Website">Followup!$O$2:$O$400</definedName>
    <definedName name="Margin">'Base Bid'!$D$4</definedName>
    <definedName name="Material_Escalation">'Base Bid'!$H$11</definedName>
    <definedName name="Mechanical_System">'VRF and Lists'!$O$2:$O$15</definedName>
    <definedName name="Medicare__Rate">'VRF and Lists'!$Y$3:$Y$22</definedName>
    <definedName name="No_Apprentices">'Labor Costs'!$I$19</definedName>
    <definedName name="No_Foreman">'Labor Costs'!$I$17</definedName>
    <definedName name="No_Workers">'Labor Costs'!$I$18</definedName>
    <definedName name="Parking">'Base Bid'!$J$9</definedName>
    <definedName name="Parking_cost">'Base Bid'!$J$11</definedName>
    <definedName name="Parking_Per_Hour">'Base Bid'!$D$11</definedName>
    <definedName name="Password_for_Bid_List___DCB">Followup!$AD$2:$AD$400</definedName>
    <definedName name="Password_for_Bid_List___Goel">Followup!$T$2:$T$400</definedName>
    <definedName name="Password_for_Bid_List___Goel_DC">Followup!$AF$2:$AF$400</definedName>
    <definedName name="Percentages">'VRF and Lists'!$G$2:$G$23</definedName>
    <definedName name="PFL">'VRF and Lists'!$V$3:$V$22</definedName>
    <definedName name="Phone">Followup!$D$2:$D$400</definedName>
    <definedName name="Pipeline">Followup!$L$2:$L$400</definedName>
    <definedName name="PJ_Estimate">'Base Bid'!$H$47</definedName>
    <definedName name="PLUMB_Code">'Quantites and Price from Mike'!$D$44:$D$73</definedName>
    <definedName name="Plumb_Cost_by_System">'Quantites and Price from Mike'!$E$44:$E$73</definedName>
    <definedName name="PLUMB_Qnt">'Quantites and Price from Mike'!$A$44:$A$73</definedName>
    <definedName name="PLUMB_SYSTEM">'Quantites and Price from Mike'!$F$44:$F$73</definedName>
    <definedName name="PLUMB_System_Name">'Quantites and Price from Mike'!$H$44:$H$73</definedName>
    <definedName name="PLUMB_System_Name_NO_Release">'Quantites and Price from Mike'!$I$44:$I$73</definedName>
    <definedName name="PLUMB_System_Name_Release_qnt">'Quantites and Price from Mike'!$J$44:$J$73</definedName>
    <definedName name="PLUMB_Unit">'Quantites and Price from Mike'!$G$44:$G$73</definedName>
    <definedName name="Plumbing_1">'Base Bid'!$AG$4:$AG$7</definedName>
    <definedName name="Plumbing_2">'Base Bid'!$AH$4:$AH$7</definedName>
    <definedName name="Plumbing_Area_Code">'Spec - Plumbing'!$R$2:$R$73</definedName>
    <definedName name="Plumbing_Area_Name">'Spec - Plumbing'!$S$2:$S$73</definedName>
    <definedName name="Plumbing_breakout_no_Quantities">'Quantites and Price from Mike'!$F$41</definedName>
    <definedName name="Plumbing_breakout_with_Quantities">'Quantites and Price from Mike'!$G$41</definedName>
    <definedName name="Plumbing_breakout_with_Quantities_END">'Quantites and Price from Mike'!$H$41</definedName>
    <definedName name="Plumbing_Material_Code">'Spec - Plumbing'!$P$2:$P$73</definedName>
    <definedName name="Plumbing_Material_Description">'Spec - Plumbing'!$Q$2:$Q$72</definedName>
    <definedName name="Plumbing_Pipe_Size">'Spec - Plumbing'!$U$2:$U$73</definedName>
    <definedName name="Plumbing_Price">'Quantites and Price from Mike'!$E$41</definedName>
    <definedName name="Plumbing_System">'Spec - Plumbing'!$M$2:$M$73</definedName>
    <definedName name="Plumbing_Systems___Abbreviations">'Spec - Plumbing'!$N$2:$N$73</definedName>
    <definedName name="Plumbing_Thickness">'Spec - Plumbing'!$T$2:$T$73</definedName>
    <definedName name="Plumbing_Unit">'Spec - Plumbing'!$O$2:$O$73</definedName>
    <definedName name="Preference">'VRF and Lists'!$AI$3:$AI$22</definedName>
    <definedName name="_xlnm.Print_Area" localSheetId="1">'Base Bid'!$A$1:$J$49</definedName>
    <definedName name="_xlnm.Print_Area" localSheetId="10">Exclusions!$A$1:$J$47</definedName>
    <definedName name="_xlnm.Print_Area" localSheetId="4">'Labor Costs Worksheet'!$B$1:$AW$35</definedName>
    <definedName name="_xlnm.Print_Area" localSheetId="9">'Proposal Sheet'!$A$1:$G$40</definedName>
    <definedName name="_xlnm.Print_Area" localSheetId="8">'Quantites and Price from Mike'!$A$1:$X$127</definedName>
    <definedName name="_xlnm.Print_Area" localSheetId="0">Startup!$A$1:$G$69</definedName>
    <definedName name="Project_Company">Startup!$B$1</definedName>
    <definedName name="Project_Duration">'VRF and Lists'!$N$2:$N$15</definedName>
    <definedName name="Project_Fringe">'Labor Costs'!$I$23</definedName>
    <definedName name="Project_Months">'Base Bid'!$B$12</definedName>
    <definedName name="Project_Start_In_No_Months">'VRF and Lists'!$M$2:$M$15</definedName>
    <definedName name="Project_State">'Base Bid'!$B$5</definedName>
    <definedName name="Project_Type">'VRF and Lists'!$L$2:$L$15</definedName>
    <definedName name="Project_wage">'Labor Costs'!$I$22</definedName>
    <definedName name="Project_Wage_and_Fringe">'Labor Costs'!$I$24</definedName>
    <definedName name="Project_Wage_Rate">'Base Bid'!$B$8</definedName>
    <definedName name="Qnt">'Quantites and Price from Mike'!$A$4:$A$117</definedName>
    <definedName name="Rate_DBA_PW">'Base Bid'!$R$19:$R$19</definedName>
    <definedName name="Rate_Fringe">'Base Bid'!$O$19:$O$19</definedName>
    <definedName name="Rate_Incremental">'VRF and Lists'!$B$20</definedName>
    <definedName name="Rate_Next_update">'Base Bid'!$R$5:$R$9</definedName>
    <definedName name="Rate_State">'VRF and Lists'!$U$3:$U$22</definedName>
    <definedName name="Rate_Total">'Base Bid'!$P$19:$P$19</definedName>
    <definedName name="Rate_Update">'Base Bid'!$Q$19:$Q$19</definedName>
    <definedName name="Rate_Wage">'Base Bid'!$N$19:$N$19</definedName>
    <definedName name="Rate_Wage_List">'Base Bid'!$S$5:$S$19</definedName>
    <definedName name="Rate_Year">'Base Bid'!$M$19:$M$19</definedName>
    <definedName name="Sales_Tax">'Base Bid'!$H$12</definedName>
    <definedName name="Sales_Tax_by_state">'VRF and Lists'!$AG$3:$AG$22</definedName>
    <definedName name="Sales_tax_percent">'Base Bid'!$H$13</definedName>
    <definedName name="Sales_Tax_State" localSheetId="11">'VRF and Lists'!$AG$3:$AG$22</definedName>
    <definedName name="SSN__Rate">'VRF and Lists'!$X$3:$X$22</definedName>
    <definedName name="State" localSheetId="11">'VRF and Lists'!$U$3:$U$9</definedName>
    <definedName name="State">Followup!$J$2:$J$400</definedName>
    <definedName name="SUTA">'Labor Costs Worksheet'!$F$18</definedName>
    <definedName name="SUTA__CAP">'VRF and Lists'!$AD$3:$AD$22</definedName>
    <definedName name="SUTA__DCB__Rate">'VRF and Lists'!$AA$3:$AA$22</definedName>
    <definedName name="SUTA__Rate">'VRF and Lists'!$AF$3:$AF$22</definedName>
    <definedName name="SUTA_GOEL_DC__Rate">'VRF and Lists'!$AB$3:$AB$22</definedName>
    <definedName name="SUTA_GOEL_Rate">'VRF and Lists'!$AC$3:$AC$22</definedName>
    <definedName name="SUTA_RATE">'Labor Costs Worksheet'!$G$17</definedName>
    <definedName name="SYSTEM">'Quantites and Price from Mike'!$F$4:$F$117</definedName>
    <definedName name="System_Name">'Quantites and Price from Mike'!$H$4:$H$117</definedName>
    <definedName name="System_Name___do_not_release_qnt">'Quantites and Price from Mike'!$I$4:$I$117</definedName>
    <definedName name="System_Name___release_qnt">'Quantites and Price from Mike'!$J$4:$J$117</definedName>
    <definedName name="Systems">#REF!,#REF!</definedName>
    <definedName name="Team">'Base Bid'!$Z$4:$Z$7</definedName>
    <definedName name="Team_1">'Base Bid'!$AA$4:$AH$4</definedName>
    <definedName name="Team_2">'Base Bid'!$AA$7:$AH$7</definedName>
    <definedName name="Team_3">'Base Bid'!$AA$6:$AH$6</definedName>
    <definedName name="Team_4">'VRF and Lists'!#REF!</definedName>
    <definedName name="Team_list">'Base Bid'!$Z$4:$Z$7</definedName>
    <definedName name="Total_Hours">'Base Bid'!$H$37</definedName>
    <definedName name="Total_Lift">'Base Bid'!$J$7</definedName>
    <definedName name="Total_Wage">'Base Bid'!$D$13</definedName>
    <definedName name="Type_Of_Building">'VRF and Lists'!$AK$3:$AK$46</definedName>
    <definedName name="Type_of_project">'VRF and Lists'!$L$2:$L$15</definedName>
    <definedName name="Types">#REF!,#REF!</definedName>
    <definedName name="Unemployment">'VRF and Lists'!$AF$3:$AF$9</definedName>
    <definedName name="Unit">'Quantites and Price from Mike'!$G$4:$G$117</definedName>
    <definedName name="User_Name__bid_invites____DCB">Followup!$AC$2:$AC$400</definedName>
    <definedName name="User_Name__bid_invites____Goel">Followup!$S$2:$S$400</definedName>
    <definedName name="User_Name__bid_invites____Goel_DC">Followup!$AE$2:$AE$400</definedName>
    <definedName name="VRF_Covered">'VRF and Lists'!$D$3:$D$17</definedName>
    <definedName name="VRF_Covered_Rate">'VRF and Lists'!$B$19</definedName>
    <definedName name="VRF_List">'VRF and Lists'!$H$2:$H$6</definedName>
    <definedName name="VRF_Manufacturers">'VRF and Lists'!$J$2:$J$30</definedName>
    <definedName name="VRF_Method_of_determining_scope">'VRF and Lists'!$I$2:$I$11</definedName>
    <definedName name="VRF_Price">'Quantites and Price from Mike'!$E$118</definedName>
    <definedName name="VRF_Pricing">'VRF and Lists'!$C$3:$C$17</definedName>
    <definedName name="VRF_Quantity">'Quantites and Price from Mike'!$D$123</definedName>
    <definedName name="VRF_SOW">'Quantites and Price from Mike'!$F$118</definedName>
    <definedName name="VRF_Thickness">'VRF and Lists'!$A$3:$A$17</definedName>
    <definedName name="Wage_As_of">'Base Bid'!$Q$5:$Q$50</definedName>
    <definedName name="Wage_CBA_Fringe">'Labor Costs Worksheet'!$F$4</definedName>
    <definedName name="Wage_Rate">'Base Bid'!$N$5:$N$50</definedName>
    <definedName name="Wage_Rate_Composite">'Base Bid'!$D$10</definedName>
    <definedName name="Wage_Rate_Fringe">'Base Bid'!$O$5:$O$50</definedName>
    <definedName name="Wage_Rate_List">'Base Bid'!$S$5:$S$50</definedName>
    <definedName name="Wage_Rate_Next_update">'Base Bid'!$R$5:$R$50</definedName>
    <definedName name="Wage_Rate_Total">'Base Bid'!$P$5:$P$50</definedName>
    <definedName name="Wage_Rate_Year">'Base Bid'!$M$5:$M$50</definedName>
    <definedName name="WC">'VRF and Lists'!$W$3:$W$9</definedName>
    <definedName name="WC_Insulation">'VRF and Lists'!$W$3:$W$22</definedName>
    <definedName name="WC_Plumber">'VRF and Lists'!$AE$3:$AE$22</definedName>
    <definedName name="What_amount_do_we_bid_to_them?">Followup!$W$2:$W$400</definedName>
    <definedName name="What_percentage_of_their_insulation_work_do_we_get?">Followup!$AI$2:$AI$400</definedName>
    <definedName name="What_system_do_they_send_bid_invites_from?">Followup!$Q$2:$Q$400</definedName>
    <definedName name="When_was_this_record_updated?">Followup!$AK$2:$AK$400</definedName>
    <definedName name="Which_Captain_is_responsible_to_market_this_client?">Followup!$AL$2:$AL$400</definedName>
    <definedName name="Who_is_responsible_to_update_this_record?">Followup!$AJ$2:$AJ$400</definedName>
    <definedName name="Zip">Followup!$K$2:$K$400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4" l="1"/>
  <c r="A4" i="54"/>
  <c r="I24" i="54" l="1"/>
  <c r="H24" i="54"/>
  <c r="F24" i="54"/>
  <c r="D11" i="54" l="1"/>
  <c r="I25" i="54" s="1"/>
  <c r="G16" i="54"/>
  <c r="F16" i="54"/>
  <c r="E16" i="54"/>
  <c r="D16" i="54"/>
  <c r="C16" i="54"/>
  <c r="B16" i="54"/>
  <c r="H25" i="54" l="1"/>
  <c r="B25" i="54"/>
  <c r="D25" i="54"/>
  <c r="F25" i="54"/>
  <c r="A40" i="54"/>
  <c r="A39" i="54"/>
  <c r="F22" i="54"/>
  <c r="I27" i="54"/>
  <c r="I29" i="54" s="1"/>
  <c r="I30" i="54"/>
  <c r="I32" i="54" s="1"/>
  <c r="I33" i="54" s="1"/>
  <c r="H27" i="54"/>
  <c r="H29" i="54" s="1"/>
  <c r="E42" i="54"/>
  <c r="D42" i="54"/>
  <c r="C42" i="54"/>
  <c r="F27" i="54"/>
  <c r="D27" i="54"/>
  <c r="B27" i="54"/>
  <c r="F6" i="54"/>
  <c r="F22" i="68" s="1"/>
  <c r="F4" i="61"/>
  <c r="C46" i="54"/>
  <c r="P5" i="54"/>
  <c r="S5" i="54" s="1"/>
  <c r="D8" i="68" s="1"/>
  <c r="P6" i="54"/>
  <c r="S6" i="54" s="1"/>
  <c r="P7" i="54"/>
  <c r="S7" i="54" s="1"/>
  <c r="P8" i="54"/>
  <c r="S8" i="54" s="1"/>
  <c r="P9" i="54"/>
  <c r="S9" i="54" s="1"/>
  <c r="P13" i="54"/>
  <c r="P12" i="54" s="1"/>
  <c r="P14" i="54"/>
  <c r="S14" i="54" s="1"/>
  <c r="P15" i="54"/>
  <c r="S15" i="54" s="1"/>
  <c r="P16" i="54"/>
  <c r="S16" i="54" s="1"/>
  <c r="P17" i="54"/>
  <c r="S17" i="54" s="1"/>
  <c r="S19" i="54"/>
  <c r="S18" i="54"/>
  <c r="J19" i="54"/>
  <c r="D22" i="54"/>
  <c r="B22" i="54"/>
  <c r="AO31" i="66"/>
  <c r="AN31" i="66"/>
  <c r="AM31" i="66"/>
  <c r="AL31" i="66"/>
  <c r="AK31" i="66"/>
  <c r="AJ31" i="66"/>
  <c r="AI31" i="66"/>
  <c r="AH31" i="66"/>
  <c r="AG31" i="66"/>
  <c r="AF31" i="66"/>
  <c r="AE31" i="66"/>
  <c r="AD31" i="66"/>
  <c r="AC31" i="66"/>
  <c r="AB31" i="66"/>
  <c r="AA31" i="66"/>
  <c r="Z31" i="66"/>
  <c r="N31" i="66"/>
  <c r="O31" i="66"/>
  <c r="M31" i="66"/>
  <c r="L31" i="66"/>
  <c r="U31" i="66"/>
  <c r="T31" i="66"/>
  <c r="S31" i="66"/>
  <c r="R31" i="66"/>
  <c r="Q31" i="66"/>
  <c r="P31" i="66"/>
  <c r="K31" i="66"/>
  <c r="J31" i="66"/>
  <c r="I31" i="66"/>
  <c r="H31" i="66"/>
  <c r="AQ32" i="66"/>
  <c r="AP32" i="66"/>
  <c r="AO32" i="66"/>
  <c r="AN32" i="66"/>
  <c r="AM32" i="66"/>
  <c r="AL32" i="66"/>
  <c r="AK32" i="66"/>
  <c r="AJ32" i="66"/>
  <c r="AI32" i="66"/>
  <c r="AH32" i="66"/>
  <c r="AG32" i="66"/>
  <c r="AF32" i="66"/>
  <c r="AE32" i="66"/>
  <c r="AD32" i="66"/>
  <c r="AC32" i="66"/>
  <c r="AB32" i="66"/>
  <c r="AA32" i="66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H32" i="66"/>
  <c r="G42" i="54"/>
  <c r="F42" i="54"/>
  <c r="G37" i="54"/>
  <c r="F37" i="54"/>
  <c r="E37" i="54"/>
  <c r="D37" i="54"/>
  <c r="H11" i="68"/>
  <c r="H12" i="68"/>
  <c r="I12" i="68"/>
  <c r="H14" i="68"/>
  <c r="I14" i="68"/>
  <c r="H6" i="68"/>
  <c r="H7" i="68"/>
  <c r="I7" i="68"/>
  <c r="H8" i="68"/>
  <c r="H9" i="68"/>
  <c r="I2" i="68"/>
  <c r="C37" i="54"/>
  <c r="H4" i="68"/>
  <c r="J9" i="66"/>
  <c r="K9" i="66" s="1"/>
  <c r="K8" i="66" s="1"/>
  <c r="K27" i="66"/>
  <c r="J26" i="66"/>
  <c r="K26" i="66" s="1"/>
  <c r="F21" i="66"/>
  <c r="F22" i="66"/>
  <c r="B7" i="66"/>
  <c r="W9" i="61"/>
  <c r="W7" i="61" s="1"/>
  <c r="AC9" i="61"/>
  <c r="AB9" i="61"/>
  <c r="AA9" i="61"/>
  <c r="AC8" i="61"/>
  <c r="AB8" i="61"/>
  <c r="AA8" i="61"/>
  <c r="AC7" i="61"/>
  <c r="AB7" i="61"/>
  <c r="AA7" i="61"/>
  <c r="E23" i="68"/>
  <c r="E18" i="68"/>
  <c r="E17" i="68"/>
  <c r="E16" i="68"/>
  <c r="E15" i="68"/>
  <c r="E11" i="68"/>
  <c r="E10" i="68"/>
  <c r="E9" i="68"/>
  <c r="A20" i="68"/>
  <c r="AK27" i="66"/>
  <c r="AJ26" i="66"/>
  <c r="F23" i="68"/>
  <c r="F18" i="68"/>
  <c r="F17" i="68"/>
  <c r="F15" i="68"/>
  <c r="F14" i="68"/>
  <c r="F12" i="68"/>
  <c r="F11" i="68"/>
  <c r="F10" i="68"/>
  <c r="F9" i="68"/>
  <c r="AF7" i="61"/>
  <c r="J25" i="54" l="1"/>
  <c r="E39" i="54"/>
  <c r="G39" i="54"/>
  <c r="F39" i="54"/>
  <c r="H39" i="54"/>
  <c r="D39" i="54"/>
  <c r="C39" i="54"/>
  <c r="H7" i="54"/>
  <c r="J7" i="54" s="1"/>
  <c r="I28" i="54"/>
  <c r="H28" i="54"/>
  <c r="H30" i="54" s="1"/>
  <c r="F19" i="68"/>
  <c r="I9" i="68"/>
  <c r="F20" i="68"/>
  <c r="F21" i="68"/>
  <c r="B10" i="54"/>
  <c r="B11" i="54" s="1"/>
  <c r="S13" i="54"/>
  <c r="S12" i="54"/>
  <c r="P11" i="54"/>
  <c r="J18" i="54"/>
  <c r="J27" i="54" s="1"/>
  <c r="J29" i="66"/>
  <c r="AJ29" i="66"/>
  <c r="AK29" i="66"/>
  <c r="K29" i="66"/>
  <c r="J28" i="66"/>
  <c r="J25" i="66" s="1"/>
  <c r="H37" i="54"/>
  <c r="J8" i="66"/>
  <c r="K13" i="66"/>
  <c r="K28" i="66"/>
  <c r="K25" i="66" s="1"/>
  <c r="K7" i="66" s="1"/>
  <c r="F8" i="68"/>
  <c r="AK26" i="66"/>
  <c r="AJ28" i="66"/>
  <c r="AK28" i="66" s="1"/>
  <c r="D12" i="54" l="1"/>
  <c r="H32" i="54"/>
  <c r="H33" i="54" s="1"/>
  <c r="H11" i="54"/>
  <c r="J13" i="66"/>
  <c r="J7" i="66"/>
  <c r="S11" i="54"/>
  <c r="P10" i="54"/>
  <c r="S10" i="54" s="1"/>
  <c r="AJ25" i="66"/>
  <c r="AK25" i="66"/>
  <c r="H26" i="54" l="1"/>
  <c r="H31" i="54" s="1"/>
  <c r="B26" i="54"/>
  <c r="I26" i="54"/>
  <c r="I31" i="54" s="1"/>
  <c r="F26" i="54"/>
  <c r="D26" i="54"/>
  <c r="D40" i="54"/>
  <c r="J26" i="54"/>
  <c r="F40" i="54"/>
  <c r="C40" i="54"/>
  <c r="E40" i="54"/>
  <c r="G40" i="54"/>
  <c r="H40" i="54"/>
  <c r="J28" i="54"/>
  <c r="D28" i="54"/>
  <c r="F28" i="54"/>
  <c r="H42" i="54"/>
  <c r="H43" i="54" s="1"/>
  <c r="B43" i="54"/>
  <c r="E43" i="54"/>
  <c r="F43" i="54"/>
  <c r="G43" i="54"/>
  <c r="C43" i="54"/>
  <c r="D43" i="54"/>
  <c r="B28" i="54"/>
  <c r="F10" i="54"/>
  <c r="I22" i="68"/>
  <c r="I23" i="68"/>
  <c r="C4" i="66" s="1"/>
  <c r="I24" i="68"/>
  <c r="B1" i="66" s="1"/>
  <c r="H8" i="54"/>
  <c r="I10" i="68"/>
  <c r="U29" i="66"/>
  <c r="S29" i="66"/>
  <c r="Q29" i="66"/>
  <c r="O29" i="66"/>
  <c r="U27" i="66"/>
  <c r="S27" i="66"/>
  <c r="Q27" i="66"/>
  <c r="O27" i="66"/>
  <c r="T26" i="66"/>
  <c r="T28" i="66" s="1"/>
  <c r="U28" i="66" s="1"/>
  <c r="R26" i="66"/>
  <c r="S26" i="66" s="1"/>
  <c r="P26" i="66"/>
  <c r="Q26" i="66" s="1"/>
  <c r="N26" i="66"/>
  <c r="O26" i="66" s="1"/>
  <c r="AO27" i="66"/>
  <c r="AM27" i="66"/>
  <c r="AN26" i="66"/>
  <c r="AL26" i="66"/>
  <c r="AI27" i="66"/>
  <c r="AH26" i="66"/>
  <c r="AI26" i="66" s="1"/>
  <c r="AG27" i="66"/>
  <c r="AF26" i="66"/>
  <c r="AG26" i="66" s="1"/>
  <c r="AE27" i="66"/>
  <c r="AD26" i="66"/>
  <c r="AE26" i="66" s="1"/>
  <c r="AC27" i="66"/>
  <c r="AB26" i="66"/>
  <c r="AA27" i="66"/>
  <c r="Z26" i="66"/>
  <c r="AA26" i="66" s="1"/>
  <c r="BK6" i="66"/>
  <c r="BM6" i="66"/>
  <c r="L33" i="66" s="1"/>
  <c r="BO6" i="66"/>
  <c r="BQ6" i="66"/>
  <c r="BS6" i="66"/>
  <c r="BU6" i="66"/>
  <c r="BW6" i="66"/>
  <c r="BY6" i="66"/>
  <c r="AW9" i="66"/>
  <c r="G15" i="66"/>
  <c r="H26" i="66"/>
  <c r="H28" i="66" s="1"/>
  <c r="I28" i="66" s="1"/>
  <c r="L26" i="66"/>
  <c r="L28" i="66" s="1"/>
  <c r="M28" i="66" s="1"/>
  <c r="AT26" i="66"/>
  <c r="AU26" i="66" s="1"/>
  <c r="AV26" i="66"/>
  <c r="AW26" i="66" s="1"/>
  <c r="I27" i="66"/>
  <c r="M27" i="66"/>
  <c r="W27" i="66"/>
  <c r="Y27" i="66"/>
  <c r="AQ27" i="66"/>
  <c r="AS27" i="66"/>
  <c r="AU27" i="66"/>
  <c r="AW27" i="66"/>
  <c r="G39" i="66"/>
  <c r="C15" i="65"/>
  <c r="H13" i="64"/>
  <c r="H14" i="64"/>
  <c r="I17" i="64"/>
  <c r="F18" i="64"/>
  <c r="F19" i="64"/>
  <c r="H20" i="64"/>
  <c r="I20" i="64"/>
  <c r="H22" i="64"/>
  <c r="I22" i="64"/>
  <c r="B26" i="64"/>
  <c r="B27" i="64"/>
  <c r="B28" i="64"/>
  <c r="E41" i="64"/>
  <c r="B42" i="64"/>
  <c r="F11" i="54" l="1"/>
  <c r="D5" i="68"/>
  <c r="D6" i="68" s="1"/>
  <c r="D7" i="68"/>
  <c r="F7" i="68" s="1"/>
  <c r="C3" i="66"/>
  <c r="X9" i="66"/>
  <c r="V9" i="66"/>
  <c r="R9" i="66"/>
  <c r="N9" i="66"/>
  <c r="AP9" i="66"/>
  <c r="AR9" i="66"/>
  <c r="P9" i="66"/>
  <c r="L9" i="66"/>
  <c r="C5" i="66"/>
  <c r="I11" i="68"/>
  <c r="I8" i="68"/>
  <c r="J15" i="66"/>
  <c r="K15" i="66"/>
  <c r="V30" i="66"/>
  <c r="V33" i="66"/>
  <c r="N33" i="66"/>
  <c r="AR30" i="66"/>
  <c r="T33" i="66"/>
  <c r="AP30" i="66"/>
  <c r="R33" i="66"/>
  <c r="R29" i="66" s="1"/>
  <c r="X33" i="66"/>
  <c r="P33" i="66"/>
  <c r="P29" i="66" s="1"/>
  <c r="C2" i="66"/>
  <c r="U26" i="66"/>
  <c r="U25" i="66" s="1"/>
  <c r="T29" i="66"/>
  <c r="T25" i="66"/>
  <c r="R28" i="66"/>
  <c r="N29" i="66"/>
  <c r="N28" i="66"/>
  <c r="P28" i="66"/>
  <c r="AM26" i="66"/>
  <c r="AO26" i="66"/>
  <c r="AH28" i="66"/>
  <c r="AI28" i="66" s="1"/>
  <c r="AI25" i="66" s="1"/>
  <c r="X34" i="66"/>
  <c r="AL28" i="66"/>
  <c r="AM28" i="66" s="1"/>
  <c r="AN28" i="66"/>
  <c r="AO28" i="66" s="1"/>
  <c r="AP34" i="66"/>
  <c r="V34" i="66"/>
  <c r="AD28" i="66"/>
  <c r="AD25" i="66" s="1"/>
  <c r="AF28" i="66"/>
  <c r="AF25" i="66" s="1"/>
  <c r="AC26" i="66"/>
  <c r="AB28" i="66"/>
  <c r="AC28" i="66" s="1"/>
  <c r="Z28" i="66"/>
  <c r="X30" i="66"/>
  <c r="I26" i="66"/>
  <c r="I25" i="66" s="1"/>
  <c r="M26" i="66"/>
  <c r="M25" i="66" s="1"/>
  <c r="AV28" i="66"/>
  <c r="AV33" i="66"/>
  <c r="AR33" i="66"/>
  <c r="L25" i="66"/>
  <c r="AP33" i="66"/>
  <c r="AT28" i="66"/>
  <c r="AU28" i="66" s="1"/>
  <c r="AU25" i="66" s="1"/>
  <c r="H25" i="66"/>
  <c r="F5" i="68" l="1"/>
  <c r="I19" i="68"/>
  <c r="I18" i="68" s="1"/>
  <c r="AR11" i="66"/>
  <c r="AJ9" i="66"/>
  <c r="AJ11" i="66" s="1"/>
  <c r="Q11" i="66"/>
  <c r="AK11" i="66"/>
  <c r="AG28" i="66"/>
  <c r="AG25" i="66" s="1"/>
  <c r="AP11" i="66"/>
  <c r="AP8" i="66" s="1"/>
  <c r="T9" i="66"/>
  <c r="U9" i="66" s="1"/>
  <c r="AB9" i="66"/>
  <c r="AB11" i="66" s="1"/>
  <c r="S11" i="66"/>
  <c r="U11" i="66"/>
  <c r="AD9" i="66"/>
  <c r="AD11" i="66" s="1"/>
  <c r="O9" i="66"/>
  <c r="X11" i="66"/>
  <c r="AN9" i="66"/>
  <c r="AN11" i="66" s="1"/>
  <c r="P11" i="66"/>
  <c r="P8" i="66" s="1"/>
  <c r="P7" i="66" s="1"/>
  <c r="R11" i="66"/>
  <c r="R8" i="66" s="1"/>
  <c r="AL9" i="66"/>
  <c r="AL11" i="66" s="1"/>
  <c r="V11" i="66"/>
  <c r="L11" i="66"/>
  <c r="AH9" i="66"/>
  <c r="AH11" i="66" s="1"/>
  <c r="AF9" i="66"/>
  <c r="AF11" i="66" s="1"/>
  <c r="AE28" i="66"/>
  <c r="AE25" i="66" s="1"/>
  <c r="Z9" i="66"/>
  <c r="Z11" i="66" s="1"/>
  <c r="AV8" i="66"/>
  <c r="O11" i="66"/>
  <c r="O28" i="66"/>
  <c r="O25" i="66" s="1"/>
  <c r="N25" i="66"/>
  <c r="Q28" i="66"/>
  <c r="Q25" i="66" s="1"/>
  <c r="P25" i="66"/>
  <c r="R25" i="66"/>
  <c r="S28" i="66"/>
  <c r="S25" i="66" s="1"/>
  <c r="AO25" i="66"/>
  <c r="AM25" i="66"/>
  <c r="AH25" i="66"/>
  <c r="AN25" i="66"/>
  <c r="AL25" i="66"/>
  <c r="AI11" i="66"/>
  <c r="AC11" i="66"/>
  <c r="AE11" i="66"/>
  <c r="AG11" i="66"/>
  <c r="AO11" i="66"/>
  <c r="AM11" i="66"/>
  <c r="AB25" i="66"/>
  <c r="AC25" i="66"/>
  <c r="H9" i="66"/>
  <c r="H11" i="66" s="1"/>
  <c r="AA11" i="66"/>
  <c r="Z25" i="66"/>
  <c r="AA28" i="66"/>
  <c r="AA25" i="66" s="1"/>
  <c r="AU9" i="66"/>
  <c r="M11" i="66"/>
  <c r="Y11" i="66"/>
  <c r="AW8" i="66"/>
  <c r="I11" i="66"/>
  <c r="AQ11" i="66"/>
  <c r="AS11" i="66"/>
  <c r="W11" i="66"/>
  <c r="AT25" i="66"/>
  <c r="AV25" i="66"/>
  <c r="AW28" i="66"/>
  <c r="AW25" i="66" s="1"/>
  <c r="D3" i="68" l="1"/>
  <c r="F3" i="68" s="1"/>
  <c r="D4" i="68"/>
  <c r="D13" i="68"/>
  <c r="F13" i="68" s="1"/>
  <c r="F6" i="68"/>
  <c r="AJ8" i="66"/>
  <c r="AK9" i="66"/>
  <c r="AK8" i="66" s="1"/>
  <c r="T11" i="66"/>
  <c r="T8" i="66" s="1"/>
  <c r="T15" i="66" s="1"/>
  <c r="U8" i="66"/>
  <c r="N11" i="66"/>
  <c r="N8" i="66" s="1"/>
  <c r="S9" i="66"/>
  <c r="S8" i="66" s="1"/>
  <c r="Q9" i="66"/>
  <c r="Q8" i="66" s="1"/>
  <c r="Q7" i="66" s="1"/>
  <c r="W9" i="66"/>
  <c r="W8" i="66" s="1"/>
  <c r="AV15" i="66"/>
  <c r="O8" i="66"/>
  <c r="R15" i="66"/>
  <c r="R7" i="66"/>
  <c r="R13" i="66"/>
  <c r="P15" i="66"/>
  <c r="P13" i="66"/>
  <c r="X8" i="66"/>
  <c r="H8" i="66"/>
  <c r="AR8" i="66"/>
  <c r="L8" i="66"/>
  <c r="AU8" i="66"/>
  <c r="AS9" i="66"/>
  <c r="AS8" i="66" s="1"/>
  <c r="AE9" i="66"/>
  <c r="AE8" i="66" s="1"/>
  <c r="AD8" i="66"/>
  <c r="AG9" i="66"/>
  <c r="AG8" i="66" s="1"/>
  <c r="AF8" i="66"/>
  <c r="AL8" i="66"/>
  <c r="AM9" i="66"/>
  <c r="AM8" i="66" s="1"/>
  <c r="I9" i="66"/>
  <c r="I8" i="66" s="1"/>
  <c r="AB8" i="66"/>
  <c r="AC9" i="66"/>
  <c r="AC8" i="66" s="1"/>
  <c r="AI9" i="66"/>
  <c r="AI8" i="66" s="1"/>
  <c r="AH8" i="66"/>
  <c r="AO9" i="66"/>
  <c r="AO8" i="66" s="1"/>
  <c r="AN8" i="66"/>
  <c r="V8" i="66"/>
  <c r="Z8" i="66"/>
  <c r="AA9" i="66"/>
  <c r="AA8" i="66" s="1"/>
  <c r="Y9" i="66"/>
  <c r="Y8" i="66" s="1"/>
  <c r="AT8" i="66"/>
  <c r="AQ9" i="66"/>
  <c r="AQ8" i="66" s="1"/>
  <c r="M9" i="66"/>
  <c r="M8" i="66" s="1"/>
  <c r="AV13" i="66"/>
  <c r="AW15" i="66"/>
  <c r="AV7" i="66"/>
  <c r="AW7" i="66"/>
  <c r="AW13" i="66"/>
  <c r="AP13" i="66"/>
  <c r="AP15" i="66"/>
  <c r="AP26" i="66"/>
  <c r="F4" i="68" l="1"/>
  <c r="F24" i="68" s="1"/>
  <c r="D24" i="68"/>
  <c r="T13" i="66"/>
  <c r="T7" i="66"/>
  <c r="AJ13" i="66"/>
  <c r="AJ15" i="66"/>
  <c r="AJ7" i="66"/>
  <c r="AK13" i="66"/>
  <c r="AK15" i="66"/>
  <c r="AK7" i="66"/>
  <c r="O7" i="66"/>
  <c r="U15" i="66"/>
  <c r="O13" i="66"/>
  <c r="O15" i="66"/>
  <c r="Q15" i="66"/>
  <c r="N7" i="66"/>
  <c r="N15" i="66"/>
  <c r="U7" i="66"/>
  <c r="N13" i="66"/>
  <c r="U13" i="66"/>
  <c r="Q13" i="66"/>
  <c r="S13" i="66"/>
  <c r="S7" i="66"/>
  <c r="S15" i="66"/>
  <c r="AS15" i="66"/>
  <c r="L7" i="66"/>
  <c r="W15" i="66"/>
  <c r="M7" i="66"/>
  <c r="AT13" i="66"/>
  <c r="X26" i="66"/>
  <c r="X28" i="66" s="1"/>
  <c r="Y28" i="66" s="1"/>
  <c r="W13" i="66"/>
  <c r="X15" i="66"/>
  <c r="X13" i="66"/>
  <c r="W26" i="66"/>
  <c r="H15" i="66"/>
  <c r="H7" i="66"/>
  <c r="H13" i="66"/>
  <c r="AR26" i="66"/>
  <c r="AR28" i="66" s="1"/>
  <c r="AS28" i="66" s="1"/>
  <c r="AR13" i="66"/>
  <c r="AR15" i="66"/>
  <c r="AU7" i="66"/>
  <c r="L13" i="66"/>
  <c r="L15" i="66"/>
  <c r="AS26" i="66"/>
  <c r="AU15" i="66"/>
  <c r="AU13" i="66"/>
  <c r="AS13" i="66"/>
  <c r="V15" i="66"/>
  <c r="I7" i="66"/>
  <c r="AM15" i="66"/>
  <c r="AM7" i="66"/>
  <c r="AM13" i="66"/>
  <c r="I13" i="66"/>
  <c r="AF7" i="66"/>
  <c r="AF13" i="66"/>
  <c r="AF15" i="66"/>
  <c r="AN15" i="66"/>
  <c r="AN7" i="66"/>
  <c r="AN13" i="66"/>
  <c r="V26" i="66"/>
  <c r="V28" i="66" s="1"/>
  <c r="W28" i="66" s="1"/>
  <c r="AI15" i="66"/>
  <c r="AI13" i="66"/>
  <c r="AI7" i="66"/>
  <c r="I15" i="66"/>
  <c r="AO15" i="66"/>
  <c r="AO7" i="66"/>
  <c r="AO13" i="66"/>
  <c r="AT7" i="66"/>
  <c r="AH7" i="66"/>
  <c r="AH13" i="66"/>
  <c r="AH15" i="66"/>
  <c r="AC7" i="66"/>
  <c r="AC13" i="66"/>
  <c r="AC15" i="66"/>
  <c r="AL15" i="66"/>
  <c r="AL7" i="66"/>
  <c r="AL13" i="66"/>
  <c r="AG13" i="66"/>
  <c r="AG15" i="66"/>
  <c r="AG7" i="66"/>
  <c r="AT15" i="66"/>
  <c r="AD15" i="66"/>
  <c r="AD13" i="66"/>
  <c r="AD7" i="66"/>
  <c r="AE15" i="66"/>
  <c r="AE13" i="66"/>
  <c r="AE7" i="66"/>
  <c r="Y15" i="66"/>
  <c r="V13" i="66"/>
  <c r="Y13" i="66"/>
  <c r="AB13" i="66"/>
  <c r="AB15" i="66"/>
  <c r="AB7" i="66"/>
  <c r="Z15" i="66"/>
  <c r="Z7" i="66"/>
  <c r="Z13" i="66"/>
  <c r="Y26" i="66"/>
  <c r="AA15" i="66"/>
  <c r="AA7" i="66"/>
  <c r="AA13" i="66"/>
  <c r="M15" i="66"/>
  <c r="M13" i="66"/>
  <c r="AQ26" i="66"/>
  <c r="AQ15" i="66"/>
  <c r="AQ13" i="66"/>
  <c r="AP28" i="66"/>
  <c r="AQ28" i="66" s="1"/>
  <c r="AW29" i="66" l="1"/>
  <c r="W25" i="66"/>
  <c r="W7" i="66" s="1"/>
  <c r="AV29" i="66"/>
  <c r="L29" i="66"/>
  <c r="H29" i="66"/>
  <c r="AS25" i="66"/>
  <c r="AS7" i="66" s="1"/>
  <c r="Y25" i="66"/>
  <c r="Y7" i="66" s="1"/>
  <c r="X25" i="66"/>
  <c r="AQ25" i="66"/>
  <c r="AQ7" i="66" s="1"/>
  <c r="AP25" i="66"/>
  <c r="AP7" i="66" s="1"/>
  <c r="AR25" i="66"/>
  <c r="AR7" i="66" s="1"/>
  <c r="V25" i="66"/>
  <c r="I29" i="66" l="1"/>
  <c r="AD29" i="66"/>
  <c r="AH29" i="66"/>
  <c r="AO29" i="66"/>
  <c r="AC29" i="66"/>
  <c r="AL29" i="66"/>
  <c r="M29" i="66"/>
  <c r="AG29" i="66"/>
  <c r="AI29" i="66"/>
  <c r="X7" i="66"/>
  <c r="AQ29" i="66"/>
  <c r="AS29" i="66"/>
  <c r="V7" i="66"/>
  <c r="AF29" i="66"/>
  <c r="AE29" i="66"/>
  <c r="AN29" i="66"/>
  <c r="AM29" i="66"/>
  <c r="AB29" i="66"/>
  <c r="AT29" i="66"/>
  <c r="AU29" i="66"/>
  <c r="Z29" i="66"/>
  <c r="AA29" i="66"/>
  <c r="X29" i="66"/>
  <c r="Y29" i="66"/>
  <c r="W29" i="66"/>
  <c r="V29" i="66"/>
  <c r="AR29" i="66" l="1"/>
  <c r="AP29" i="66"/>
  <c r="O4" i="61" l="1"/>
  <c r="G4" i="61"/>
  <c r="G5" i="61" s="1"/>
  <c r="G6" i="61" s="1"/>
  <c r="G7" i="61" s="1"/>
  <c r="G8" i="61" s="1"/>
  <c r="G9" i="61" s="1"/>
  <c r="G10" i="61" s="1"/>
  <c r="G11" i="61" s="1"/>
  <c r="G12" i="61" s="1"/>
  <c r="G13" i="61" s="1"/>
  <c r="G14" i="61" s="1"/>
  <c r="G15" i="61" s="1"/>
  <c r="G16" i="61" s="1"/>
  <c r="G17" i="61" s="1"/>
  <c r="G18" i="61" s="1"/>
  <c r="G19" i="61" s="1"/>
  <c r="G20" i="61" s="1"/>
  <c r="G21" i="61" s="1"/>
  <c r="G22" i="61" s="1"/>
  <c r="G23" i="61" s="1"/>
  <c r="Q3" i="61" a="1"/>
  <c r="Q3" i="61" s="1"/>
  <c r="F36" i="59"/>
  <c r="F35" i="59"/>
  <c r="F32" i="59"/>
  <c r="F27" i="59"/>
  <c r="F26" i="59"/>
  <c r="F25" i="59"/>
  <c r="F24" i="59"/>
  <c r="F23" i="59"/>
  <c r="G21" i="59" s="1"/>
  <c r="E2" i="59"/>
  <c r="B2" i="59"/>
  <c r="E1" i="59"/>
  <c r="H120" i="58"/>
  <c r="D123" i="58" s="1"/>
  <c r="J117" i="58"/>
  <c r="I117" i="58"/>
  <c r="E117" i="58"/>
  <c r="J116" i="58"/>
  <c r="I116" i="58"/>
  <c r="E116" i="58"/>
  <c r="J115" i="58"/>
  <c r="I115" i="58"/>
  <c r="E115" i="58"/>
  <c r="J114" i="58"/>
  <c r="I114" i="58"/>
  <c r="E114" i="58"/>
  <c r="K113" i="58"/>
  <c r="E113" i="58" s="1"/>
  <c r="E101" i="58" s="1"/>
  <c r="J113" i="58"/>
  <c r="I113" i="58"/>
  <c r="J112" i="58"/>
  <c r="I112" i="58"/>
  <c r="E112" i="58"/>
  <c r="J111" i="58"/>
  <c r="I111" i="58"/>
  <c r="E111" i="58"/>
  <c r="J110" i="58"/>
  <c r="I110" i="58"/>
  <c r="E110" i="58"/>
  <c r="J109" i="58"/>
  <c r="I109" i="58"/>
  <c r="E109" i="58"/>
  <c r="J108" i="58"/>
  <c r="I108" i="58"/>
  <c r="E108" i="58"/>
  <c r="J107" i="58"/>
  <c r="I107" i="58"/>
  <c r="E107" i="58"/>
  <c r="E102" i="58" s="1"/>
  <c r="J106" i="58"/>
  <c r="I106" i="58"/>
  <c r="F101" i="58" s="1" a="1"/>
  <c r="F101" i="58" s="1"/>
  <c r="E106" i="58"/>
  <c r="J105" i="58"/>
  <c r="I105" i="58"/>
  <c r="E105" i="58"/>
  <c r="J104" i="58"/>
  <c r="I104" i="58"/>
  <c r="E104" i="58"/>
  <c r="A102" i="58"/>
  <c r="G101" i="58" a="1"/>
  <c r="G101" i="58" s="1"/>
  <c r="J100" i="58"/>
  <c r="I100" i="58"/>
  <c r="J99" i="58"/>
  <c r="I99" i="58"/>
  <c r="J98" i="58"/>
  <c r="I98" i="58"/>
  <c r="J97" i="58"/>
  <c r="I97" i="58"/>
  <c r="J96" i="58"/>
  <c r="I96" i="58"/>
  <c r="J95" i="58"/>
  <c r="I95" i="58"/>
  <c r="J94" i="58"/>
  <c r="I94" i="58"/>
  <c r="J93" i="58"/>
  <c r="I93" i="58"/>
  <c r="J92" i="58"/>
  <c r="I92" i="58"/>
  <c r="J91" i="58"/>
  <c r="I91" i="58"/>
  <c r="J90" i="58"/>
  <c r="I90" i="58"/>
  <c r="J89" i="58"/>
  <c r="I89" i="58"/>
  <c r="J88" i="58"/>
  <c r="I88" i="58"/>
  <c r="J87" i="58"/>
  <c r="I87" i="58"/>
  <c r="J86" i="58"/>
  <c r="I86" i="58"/>
  <c r="J85" i="58"/>
  <c r="I85" i="58"/>
  <c r="J84" i="58"/>
  <c r="I84" i="58"/>
  <c r="J83" i="58"/>
  <c r="I83" i="58"/>
  <c r="J82" i="58"/>
  <c r="I82" i="58"/>
  <c r="J81" i="58"/>
  <c r="I81" i="58"/>
  <c r="J80" i="58"/>
  <c r="I80" i="58"/>
  <c r="J79" i="58"/>
  <c r="I79" i="58"/>
  <c r="J78" i="58"/>
  <c r="G74" i="58" s="1" a="1"/>
  <c r="G74" i="58" s="1"/>
  <c r="I78" i="58"/>
  <c r="J77" i="58"/>
  <c r="I77" i="58"/>
  <c r="F74" i="58" s="1" a="1"/>
  <c r="F74" i="58" s="1"/>
  <c r="H74" i="58" s="1"/>
  <c r="E75" i="58"/>
  <c r="A75" i="58"/>
  <c r="E74" i="58"/>
  <c r="J73" i="58"/>
  <c r="I73" i="58"/>
  <c r="J72" i="58"/>
  <c r="I72" i="58"/>
  <c r="J71" i="58"/>
  <c r="I71" i="58"/>
  <c r="J70" i="58"/>
  <c r="I70" i="58"/>
  <c r="J69" i="58"/>
  <c r="I69" i="58"/>
  <c r="J68" i="58"/>
  <c r="I68" i="58"/>
  <c r="J67" i="58"/>
  <c r="I67" i="58"/>
  <c r="J66" i="58"/>
  <c r="I66" i="58"/>
  <c r="J65" i="58"/>
  <c r="I65" i="58"/>
  <c r="J64" i="58"/>
  <c r="I64" i="58"/>
  <c r="J63" i="58"/>
  <c r="I63" i="58"/>
  <c r="J62" i="58"/>
  <c r="I62" i="58"/>
  <c r="J61" i="58"/>
  <c r="I61" i="58"/>
  <c r="J60" i="58"/>
  <c r="I60" i="58"/>
  <c r="J59" i="58"/>
  <c r="I59" i="58"/>
  <c r="J58" i="58"/>
  <c r="I58" i="58"/>
  <c r="J57" i="58"/>
  <c r="I57" i="58"/>
  <c r="J56" i="58"/>
  <c r="I56" i="58"/>
  <c r="J55" i="58"/>
  <c r="I55" i="58"/>
  <c r="J54" i="58"/>
  <c r="I54" i="58"/>
  <c r="J53" i="58"/>
  <c r="I53" i="58"/>
  <c r="J52" i="58"/>
  <c r="I52" i="58"/>
  <c r="J51" i="58"/>
  <c r="I51" i="58"/>
  <c r="J50" i="58"/>
  <c r="I50" i="58"/>
  <c r="J49" i="58"/>
  <c r="I49" i="58"/>
  <c r="J48" i="58"/>
  <c r="I48" i="58"/>
  <c r="J47" i="58"/>
  <c r="I47" i="58"/>
  <c r="J46" i="58"/>
  <c r="I46" i="58"/>
  <c r="J45" i="58"/>
  <c r="I45" i="58"/>
  <c r="J44" i="58"/>
  <c r="G41" i="58" s="1" a="1"/>
  <c r="G41" i="58" s="1"/>
  <c r="I44" i="58"/>
  <c r="F41" i="58" s="1" a="1"/>
  <c r="F41" i="58" s="1"/>
  <c r="H41" i="58" s="1"/>
  <c r="E42" i="58"/>
  <c r="A42" i="58"/>
  <c r="E41" i="58"/>
  <c r="G13" i="59" s="1"/>
  <c r="J40" i="58"/>
  <c r="I40" i="58"/>
  <c r="J39" i="58"/>
  <c r="I39" i="58"/>
  <c r="J38" i="58"/>
  <c r="I38" i="58"/>
  <c r="J37" i="58"/>
  <c r="I37" i="58"/>
  <c r="J36" i="58"/>
  <c r="I36" i="58"/>
  <c r="J35" i="58"/>
  <c r="I35" i="58"/>
  <c r="J34" i="58"/>
  <c r="I34" i="58"/>
  <c r="J33" i="58"/>
  <c r="I33" i="58"/>
  <c r="J32" i="58"/>
  <c r="I32" i="58"/>
  <c r="J31" i="58"/>
  <c r="I31" i="58"/>
  <c r="J30" i="58"/>
  <c r="I30" i="58"/>
  <c r="J29" i="58"/>
  <c r="I29" i="58"/>
  <c r="J28" i="58"/>
  <c r="I28" i="58"/>
  <c r="J27" i="58"/>
  <c r="I27" i="58"/>
  <c r="J26" i="58"/>
  <c r="I26" i="58"/>
  <c r="J25" i="58"/>
  <c r="I25" i="58"/>
  <c r="J24" i="58"/>
  <c r="I24" i="58"/>
  <c r="J23" i="58"/>
  <c r="I23" i="58"/>
  <c r="J22" i="58"/>
  <c r="I22" i="58"/>
  <c r="J21" i="58"/>
  <c r="I21" i="58"/>
  <c r="J20" i="58"/>
  <c r="I20" i="58"/>
  <c r="J19" i="58"/>
  <c r="I19" i="58"/>
  <c r="J18" i="58"/>
  <c r="I18" i="58"/>
  <c r="J17" i="58"/>
  <c r="I17" i="58"/>
  <c r="J16" i="58"/>
  <c r="I16" i="58"/>
  <c r="J15" i="58"/>
  <c r="I15" i="58"/>
  <c r="J14" i="58"/>
  <c r="I14" i="58"/>
  <c r="J13" i="58"/>
  <c r="I13" i="58"/>
  <c r="J12" i="58"/>
  <c r="I12" i="58"/>
  <c r="J11" i="58"/>
  <c r="I11" i="58"/>
  <c r="J10" i="58"/>
  <c r="I10" i="58"/>
  <c r="J9" i="58"/>
  <c r="I9" i="58"/>
  <c r="J8" i="58"/>
  <c r="G1" i="58" s="1" a="1"/>
  <c r="G1" i="58" s="1"/>
  <c r="A11" i="59" s="1"/>
  <c r="I8" i="58"/>
  <c r="J7" i="58"/>
  <c r="I7" i="58"/>
  <c r="J6" i="58"/>
  <c r="I6" i="58"/>
  <c r="J5" i="58"/>
  <c r="I5" i="58"/>
  <c r="J4" i="58"/>
  <c r="I4" i="58"/>
  <c r="F1" i="58" s="1" a="1"/>
  <c r="F1" i="58" s="1"/>
  <c r="H1" i="58" s="1"/>
  <c r="E2" i="58"/>
  <c r="E1" i="58" s="1"/>
  <c r="A2" i="58"/>
  <c r="U6" i="56"/>
  <c r="U7" i="56" s="1"/>
  <c r="U8" i="56" s="1"/>
  <c r="U9" i="56" s="1"/>
  <c r="U10" i="56" s="1"/>
  <c r="U11" i="56" s="1"/>
  <c r="U12" i="56" s="1"/>
  <c r="U13" i="56" s="1"/>
  <c r="U14" i="56" s="1"/>
  <c r="U15" i="56" s="1"/>
  <c r="U16" i="56" s="1"/>
  <c r="U17" i="56" s="1"/>
  <c r="U18" i="56" s="1"/>
  <c r="U19" i="56" s="1"/>
  <c r="U20" i="56" s="1"/>
  <c r="U21" i="56" s="1"/>
  <c r="U22" i="56" s="1"/>
  <c r="U23" i="56" s="1"/>
  <c r="U24" i="56" s="1"/>
  <c r="U25" i="56" s="1"/>
  <c r="U26" i="56" s="1"/>
  <c r="U27" i="56" s="1"/>
  <c r="U5" i="56"/>
  <c r="U4" i="56"/>
  <c r="G3" i="56"/>
  <c r="F3" i="56"/>
  <c r="D3" i="56"/>
  <c r="B3" i="56"/>
  <c r="U4" i="55"/>
  <c r="U5" i="55" s="1"/>
  <c r="U6" i="55" s="1"/>
  <c r="U7" i="55" s="1"/>
  <c r="U8" i="55" s="1"/>
  <c r="U9" i="55" s="1"/>
  <c r="U10" i="55" s="1"/>
  <c r="U11" i="55" s="1"/>
  <c r="U12" i="55" s="1"/>
  <c r="U13" i="55" s="1"/>
  <c r="U14" i="55" s="1"/>
  <c r="U15" i="55" s="1"/>
  <c r="U16" i="55" s="1"/>
  <c r="U17" i="55" s="1"/>
  <c r="U18" i="55" s="1"/>
  <c r="U19" i="55" s="1"/>
  <c r="U20" i="55" s="1"/>
  <c r="U21" i="55" s="1"/>
  <c r="U22" i="55" s="1"/>
  <c r="U23" i="55" s="1"/>
  <c r="U24" i="55" s="1"/>
  <c r="U25" i="55" s="1"/>
  <c r="U26" i="55" s="1"/>
  <c r="U27" i="55" s="1"/>
  <c r="G3" i="55" a="1"/>
  <c r="G3" i="55" s="1"/>
  <c r="F3" i="55" a="1"/>
  <c r="F3" i="55" s="1"/>
  <c r="D3" i="55" a="1"/>
  <c r="D3" i="55" s="1"/>
  <c r="B3" i="55" a="1"/>
  <c r="B3" i="55" s="1"/>
  <c r="C4" i="54"/>
  <c r="G10" i="59" l="1"/>
  <c r="J20" i="54"/>
  <c r="H48" i="54" s="1"/>
  <c r="G19" i="59"/>
  <c r="A17" i="59"/>
  <c r="D124" i="58"/>
  <c r="A119" i="58"/>
  <c r="D125" i="58"/>
  <c r="G8" i="59"/>
  <c r="H1" i="54" l="1"/>
  <c r="I48" i="54"/>
  <c r="H2" i="54" s="1"/>
  <c r="A40" i="59"/>
  <c r="C6" i="61"/>
  <c r="D6" i="61" s="1"/>
  <c r="C12" i="61"/>
  <c r="D12" i="61" s="1"/>
  <c r="C7" i="61"/>
  <c r="D7" i="61" s="1"/>
  <c r="C11" i="61"/>
  <c r="D11" i="61" s="1"/>
  <c r="C10" i="61"/>
  <c r="D10" i="61" s="1"/>
  <c r="C13" i="61"/>
  <c r="D13" i="61" s="1"/>
  <c r="C5" i="61"/>
  <c r="D5" i="61" s="1"/>
  <c r="C8" i="61"/>
  <c r="D8" i="61" s="1"/>
  <c r="C15" i="61"/>
  <c r="D15" i="61" s="1"/>
  <c r="C4" i="61"/>
  <c r="C14" i="61"/>
  <c r="D14" i="61" s="1"/>
  <c r="C9" i="61"/>
  <c r="D9" i="61" s="1"/>
  <c r="D4" i="61" l="1"/>
  <c r="H123" i="58" s="1"/>
  <c r="E125" i="58" s="1"/>
  <c r="H122" i="58"/>
  <c r="F118" i="58" l="1"/>
  <c r="E124" i="58"/>
  <c r="E119" i="58" l="1"/>
  <c r="E118" i="58"/>
  <c r="G16" i="59" l="1"/>
  <c r="G28" i="59" s="1"/>
  <c r="A16" i="59"/>
  <c r="G37" i="60"/>
  <c r="F37" i="60"/>
  <c r="E12" i="68" l="1"/>
  <c r="E14" i="68"/>
  <c r="E65" i="66" a="1"/>
  <c r="E65" i="66" s="1"/>
  <c r="I6" i="68"/>
  <c r="G17" i="66" a="1"/>
  <c r="G17" i="66" s="1"/>
  <c r="G23" i="66"/>
  <c r="AE23" i="66" s="1"/>
  <c r="G19" i="66"/>
  <c r="AW19" i="66" s="1"/>
  <c r="G21" i="66"/>
  <c r="P21" i="66" s="1"/>
  <c r="H13" i="54"/>
  <c r="F29" i="54" s="1"/>
  <c r="F18" i="66"/>
  <c r="D29" i="54" l="1"/>
  <c r="B29" i="54"/>
  <c r="B44" i="54"/>
  <c r="J29" i="54"/>
  <c r="AN23" i="66"/>
  <c r="AP23" i="66"/>
  <c r="AU23" i="66"/>
  <c r="D44" i="54"/>
  <c r="R23" i="66"/>
  <c r="AN19" i="66"/>
  <c r="H44" i="54"/>
  <c r="AN17" i="66"/>
  <c r="Z23" i="66"/>
  <c r="AI23" i="66"/>
  <c r="AM23" i="66"/>
  <c r="AC23" i="66"/>
  <c r="AQ23" i="66"/>
  <c r="AO23" i="66"/>
  <c r="AV23" i="66"/>
  <c r="L19" i="66"/>
  <c r="AW23" i="66"/>
  <c r="AQ19" i="66"/>
  <c r="V19" i="66"/>
  <c r="AP19" i="66"/>
  <c r="AV19" i="66"/>
  <c r="P19" i="66"/>
  <c r="Y23" i="66"/>
  <c r="V17" i="66"/>
  <c r="AQ17" i="66"/>
  <c r="L17" i="66"/>
  <c r="AS17" i="66"/>
  <c r="J17" i="66"/>
  <c r="AI17" i="66"/>
  <c r="AK17" i="66"/>
  <c r="Z17" i="66"/>
  <c r="S17" i="66"/>
  <c r="T17" i="66"/>
  <c r="AM17" i="66"/>
  <c r="AR17" i="66"/>
  <c r="O17" i="66"/>
  <c r="X17" i="66"/>
  <c r="R17" i="66"/>
  <c r="AL17" i="66"/>
  <c r="AB19" i="66"/>
  <c r="AG21" i="66"/>
  <c r="AN21" i="66"/>
  <c r="AG17" i="66"/>
  <c r="AS19" i="66"/>
  <c r="L23" i="66"/>
  <c r="K23" i="66"/>
  <c r="AD21" i="66"/>
  <c r="O21" i="66"/>
  <c r="AA21" i="66"/>
  <c r="S19" i="66"/>
  <c r="AL21" i="66"/>
  <c r="K17" i="66"/>
  <c r="AS21" i="66"/>
  <c r="Z21" i="66"/>
  <c r="AE19" i="66"/>
  <c r="AG23" i="66"/>
  <c r="AH17" i="66"/>
  <c r="AK21" i="66"/>
  <c r="AF21" i="66"/>
  <c r="AR19" i="66"/>
  <c r="AJ19" i="66"/>
  <c r="V23" i="66"/>
  <c r="O23" i="66"/>
  <c r="H17" i="66"/>
  <c r="M17" i="66"/>
  <c r="I17" i="66"/>
  <c r="V21" i="66"/>
  <c r="L21" i="66"/>
  <c r="AH19" i="66"/>
  <c r="H19" i="66"/>
  <c r="X23" i="66"/>
  <c r="AT23" i="66"/>
  <c r="Y21" i="66"/>
  <c r="AH21" i="66"/>
  <c r="R19" i="66"/>
  <c r="AL19" i="66"/>
  <c r="N23" i="66"/>
  <c r="K21" i="66"/>
  <c r="W19" i="66"/>
  <c r="U23" i="66"/>
  <c r="U19" i="66"/>
  <c r="X21" i="66"/>
  <c r="AE21" i="66"/>
  <c r="AK19" i="66"/>
  <c r="AO19" i="66"/>
  <c r="M23" i="66"/>
  <c r="AK23" i="66"/>
  <c r="M19" i="66"/>
  <c r="P23" i="66"/>
  <c r="AB17" i="66"/>
  <c r="S21" i="66"/>
  <c r="Q19" i="66"/>
  <c r="I23" i="66"/>
  <c r="AA19" i="66"/>
  <c r="AJ17" i="66"/>
  <c r="Q17" i="66"/>
  <c r="U17" i="66"/>
  <c r="E44" i="54"/>
  <c r="M21" i="66"/>
  <c r="I21" i="66"/>
  <c r="T19" i="66"/>
  <c r="Y19" i="66"/>
  <c r="W23" i="66"/>
  <c r="AS23" i="66"/>
  <c r="W21" i="66"/>
  <c r="U21" i="66"/>
  <c r="O19" i="66"/>
  <c r="Z19" i="66"/>
  <c r="AJ23" i="66"/>
  <c r="T23" i="66"/>
  <c r="AD17" i="66"/>
  <c r="AF17" i="66"/>
  <c r="AM21" i="66"/>
  <c r="AH23" i="66"/>
  <c r="AC17" i="66"/>
  <c r="W17" i="66"/>
  <c r="G44" i="54"/>
  <c r="AO21" i="66"/>
  <c r="R21" i="66"/>
  <c r="N19" i="66"/>
  <c r="AI19" i="66"/>
  <c r="AD23" i="66"/>
  <c r="Q23" i="66"/>
  <c r="AI21" i="66"/>
  <c r="K19" i="66"/>
  <c r="I19" i="66"/>
  <c r="AU19" i="66"/>
  <c r="AM19" i="66"/>
  <c r="AO17" i="66"/>
  <c r="AT19" i="66"/>
  <c r="AE17" i="66"/>
  <c r="AA17" i="66"/>
  <c r="F44" i="54"/>
  <c r="AQ21" i="66"/>
  <c r="AP21" i="66"/>
  <c r="AD19" i="66"/>
  <c r="AF19" i="66"/>
  <c r="AF23" i="66"/>
  <c r="AL23" i="66"/>
  <c r="J21" i="66"/>
  <c r="AB21" i="66"/>
  <c r="AU21" i="66"/>
  <c r="J19" i="66"/>
  <c r="AC21" i="66"/>
  <c r="J23" i="66"/>
  <c r="Y17" i="66"/>
  <c r="N17" i="66"/>
  <c r="AR21" i="66"/>
  <c r="AR23" i="66"/>
  <c r="AW17" i="66"/>
  <c r="AP17" i="66"/>
  <c r="AV17" i="66"/>
  <c r="C44" i="54"/>
  <c r="AJ21" i="66"/>
  <c r="AV21" i="66"/>
  <c r="AC19" i="66"/>
  <c r="X19" i="66"/>
  <c r="AB23" i="66"/>
  <c r="AA23" i="66"/>
  <c r="AW21" i="66"/>
  <c r="T21" i="66"/>
  <c r="H21" i="66"/>
  <c r="Q21" i="66"/>
  <c r="P17" i="66"/>
  <c r="AT21" i="66"/>
  <c r="H23" i="66"/>
  <c r="AT17" i="66"/>
  <c r="AU17" i="66"/>
  <c r="N21" i="66"/>
  <c r="AG19" i="66"/>
  <c r="S23" i="66"/>
  <c r="I42" i="54" l="1"/>
  <c r="AH12" i="66"/>
  <c r="AH51" i="66" s="1"/>
  <c r="O12" i="66"/>
  <c r="Q12" i="66"/>
  <c r="AN12" i="66"/>
  <c r="AN35" i="66" s="1"/>
  <c r="B18" i="68" s="1"/>
  <c r="AL12" i="66"/>
  <c r="W12" i="66"/>
  <c r="U12" i="66"/>
  <c r="AJ12" i="66"/>
  <c r="T12" i="66"/>
  <c r="AO12" i="66"/>
  <c r="AK12" i="66"/>
  <c r="AV12" i="66"/>
  <c r="AI12" i="66"/>
  <c r="O35" i="66"/>
  <c r="C6" i="68" s="1"/>
  <c r="O51" i="66"/>
  <c r="AM12" i="66"/>
  <c r="AF12" i="66"/>
  <c r="AE12" i="66"/>
  <c r="AW12" i="66"/>
  <c r="J12" i="66"/>
  <c r="R12" i="66"/>
  <c r="AC12" i="66"/>
  <c r="AD12" i="66"/>
  <c r="Z12" i="66"/>
  <c r="AU12" i="66"/>
  <c r="Y12" i="66"/>
  <c r="AS12" i="66"/>
  <c r="X12" i="66"/>
  <c r="AR12" i="66"/>
  <c r="AP12" i="66"/>
  <c r="AB12" i="66"/>
  <c r="AT12" i="66"/>
  <c r="M12" i="66"/>
  <c r="L12" i="66"/>
  <c r="Q51" i="66"/>
  <c r="Q35" i="66"/>
  <c r="C7" i="68" s="1"/>
  <c r="K12" i="66"/>
  <c r="N12" i="66"/>
  <c r="P12" i="66"/>
  <c r="H12" i="66"/>
  <c r="AQ12" i="66"/>
  <c r="AA12" i="66"/>
  <c r="S12" i="66"/>
  <c r="I12" i="66"/>
  <c r="AG12" i="66"/>
  <c r="V12" i="66"/>
  <c r="AH35" i="66" l="1"/>
  <c r="B15" i="68" s="1"/>
  <c r="AN51" i="66"/>
  <c r="AC51" i="66"/>
  <c r="AC35" i="66"/>
  <c r="C12" i="68" s="1"/>
  <c r="AQ35" i="66"/>
  <c r="C20" i="68" s="1"/>
  <c r="AQ51" i="66"/>
  <c r="J35" i="66"/>
  <c r="J51" i="66"/>
  <c r="P42" i="66"/>
  <c r="P44" i="66"/>
  <c r="P51" i="66"/>
  <c r="P35" i="66"/>
  <c r="P43" i="66"/>
  <c r="N44" i="66"/>
  <c r="N42" i="66"/>
  <c r="N35" i="66"/>
  <c r="N51" i="66"/>
  <c r="N43" i="66"/>
  <c r="M35" i="66"/>
  <c r="C5" i="68" s="1"/>
  <c r="M51" i="66"/>
  <c r="AT51" i="66"/>
  <c r="AT43" i="66"/>
  <c r="AT35" i="66"/>
  <c r="AT44" i="66"/>
  <c r="AT42" i="66"/>
  <c r="AK51" i="66"/>
  <c r="AK35" i="66"/>
  <c r="C16" i="68" s="1"/>
  <c r="AO51" i="66"/>
  <c r="AO35" i="66"/>
  <c r="C18" i="68" s="1"/>
  <c r="AR42" i="66"/>
  <c r="AR43" i="66"/>
  <c r="AR51" i="66"/>
  <c r="AR35" i="66"/>
  <c r="AR44" i="66"/>
  <c r="V43" i="66"/>
  <c r="V42" i="66"/>
  <c r="V51" i="66"/>
  <c r="V44" i="66"/>
  <c r="V35" i="66"/>
  <c r="AJ35" i="66"/>
  <c r="B16" i="68" s="1"/>
  <c r="AJ51" i="66"/>
  <c r="AL35" i="66"/>
  <c r="B17" i="68" s="1"/>
  <c r="AL51" i="66"/>
  <c r="AM51" i="66"/>
  <c r="AM35" i="66"/>
  <c r="C17" i="68" s="1"/>
  <c r="L35" i="66"/>
  <c r="L51" i="66"/>
  <c r="L44" i="66"/>
  <c r="L43" i="66"/>
  <c r="L42" i="66"/>
  <c r="AI35" i="66"/>
  <c r="C15" i="68" s="1"/>
  <c r="AI51" i="66"/>
  <c r="AV44" i="66"/>
  <c r="AV42" i="66"/>
  <c r="AV35" i="66"/>
  <c r="AV51" i="66"/>
  <c r="AV43" i="66"/>
  <c r="AB51" i="66"/>
  <c r="AB35" i="66"/>
  <c r="B12" i="68" s="1"/>
  <c r="AP43" i="66"/>
  <c r="AP51" i="66"/>
  <c r="AP44" i="66"/>
  <c r="AP42" i="66"/>
  <c r="AP35" i="66"/>
  <c r="T51" i="66"/>
  <c r="T35" i="66"/>
  <c r="T42" i="66"/>
  <c r="T44" i="66"/>
  <c r="T43" i="66"/>
  <c r="X35" i="66"/>
  <c r="X42" i="66"/>
  <c r="X44" i="66"/>
  <c r="X51" i="66"/>
  <c r="X43" i="66"/>
  <c r="AG35" i="66"/>
  <c r="C14" i="68" s="1"/>
  <c r="AG51" i="66"/>
  <c r="AS35" i="66"/>
  <c r="C21" i="68" s="1"/>
  <c r="AS51" i="66"/>
  <c r="U51" i="66"/>
  <c r="U35" i="66"/>
  <c r="C9" i="68" s="1"/>
  <c r="I51" i="66"/>
  <c r="I35" i="66"/>
  <c r="C3" i="68" s="1"/>
  <c r="Y35" i="66"/>
  <c r="C10" i="68" s="1"/>
  <c r="Y51" i="66"/>
  <c r="W35" i="66"/>
  <c r="C19" i="68" s="1"/>
  <c r="W51" i="66"/>
  <c r="S35" i="66"/>
  <c r="C8" i="68" s="1"/>
  <c r="S51" i="66"/>
  <c r="AU51" i="66"/>
  <c r="AU35" i="66"/>
  <c r="C22" i="68" s="1"/>
  <c r="AA51" i="66"/>
  <c r="AA35" i="66"/>
  <c r="C11" i="68" s="1"/>
  <c r="Z51" i="66"/>
  <c r="Z35" i="66"/>
  <c r="B11" i="68" s="1"/>
  <c r="L4" i="68" s="1"/>
  <c r="R35" i="66"/>
  <c r="R44" i="66"/>
  <c r="R51" i="66"/>
  <c r="R42" i="66"/>
  <c r="R43" i="66"/>
  <c r="H51" i="66"/>
  <c r="H35" i="66"/>
  <c r="AW51" i="66"/>
  <c r="AW35" i="66"/>
  <c r="C23" i="68" s="1"/>
  <c r="AE51" i="66"/>
  <c r="AE35" i="66"/>
  <c r="C13" i="68" s="1"/>
  <c r="K51" i="66"/>
  <c r="K35" i="66"/>
  <c r="C4" i="68" s="1"/>
  <c r="AF51" i="66"/>
  <c r="AF35" i="66"/>
  <c r="B14" i="68" s="1"/>
  <c r="AD51" i="66"/>
  <c r="AD35" i="66"/>
  <c r="B13" i="68" s="1"/>
  <c r="R45" i="66" l="1"/>
  <c r="AV45" i="66"/>
  <c r="P45" i="66"/>
  <c r="P46" i="66"/>
  <c r="T45" i="66"/>
  <c r="T46" i="66"/>
  <c r="N45" i="66"/>
  <c r="V46" i="66"/>
  <c r="AR46" i="66"/>
  <c r="AR45" i="66"/>
  <c r="X45" i="66"/>
  <c r="E13" i="68"/>
  <c r="N36" i="66"/>
  <c r="N37" i="66"/>
  <c r="N39" i="66"/>
  <c r="N41" i="66" s="1"/>
  <c r="B6" i="68"/>
  <c r="E6" i="68" s="1"/>
  <c r="V45" i="66"/>
  <c r="N46" i="66"/>
  <c r="X37" i="66"/>
  <c r="X36" i="66"/>
  <c r="B10" i="68"/>
  <c r="X39" i="66"/>
  <c r="X41" i="66" s="1"/>
  <c r="L45" i="66"/>
  <c r="AV46" i="66"/>
  <c r="B7" i="68"/>
  <c r="E7" i="68" s="1"/>
  <c r="P39" i="66"/>
  <c r="P41" i="66" s="1"/>
  <c r="P37" i="66"/>
  <c r="P36" i="66"/>
  <c r="J52" i="66"/>
  <c r="L46" i="66"/>
  <c r="B9" i="68"/>
  <c r="T37" i="66"/>
  <c r="T36" i="66"/>
  <c r="T39" i="66"/>
  <c r="T41" i="66" s="1"/>
  <c r="AT36" i="66"/>
  <c r="AT37" i="66"/>
  <c r="B22" i="68"/>
  <c r="E22" i="68" s="1"/>
  <c r="AT39" i="66"/>
  <c r="AT41" i="66" s="1"/>
  <c r="R46" i="66"/>
  <c r="R39" i="66"/>
  <c r="R41" i="66" s="1"/>
  <c r="B8" i="68"/>
  <c r="E8" i="68" s="1"/>
  <c r="R36" i="66"/>
  <c r="R37" i="66"/>
  <c r="J36" i="66"/>
  <c r="B4" i="68"/>
  <c r="E4" i="68" s="1"/>
  <c r="J37" i="66"/>
  <c r="J39" i="66"/>
  <c r="J41" i="66" s="1"/>
  <c r="B20" i="68"/>
  <c r="E20" i="68" s="1"/>
  <c r="AP39" i="66"/>
  <c r="AP41" i="66" s="1"/>
  <c r="AP36" i="66"/>
  <c r="AP37" i="66"/>
  <c r="H37" i="66"/>
  <c r="H39" i="66"/>
  <c r="H41" i="66" s="1"/>
  <c r="H36" i="66"/>
  <c r="B3" i="68"/>
  <c r="V39" i="66"/>
  <c r="V41" i="66" s="1"/>
  <c r="B19" i="68"/>
  <c r="E19" i="68" s="1"/>
  <c r="V36" i="66"/>
  <c r="V37" i="66"/>
  <c r="AV37" i="66"/>
  <c r="B23" i="68"/>
  <c r="AV36" i="66"/>
  <c r="AV39" i="66"/>
  <c r="AV41" i="66" s="1"/>
  <c r="AR37" i="66"/>
  <c r="B21" i="68"/>
  <c r="E21" i="68" s="1"/>
  <c r="AR36" i="66"/>
  <c r="AR39" i="66"/>
  <c r="AR41" i="66" s="1"/>
  <c r="X46" i="66"/>
  <c r="L39" i="66"/>
  <c r="L41" i="66" s="1"/>
  <c r="L36" i="66"/>
  <c r="L37" i="66"/>
  <c r="B5" i="68"/>
  <c r="E5" i="68" s="1"/>
  <c r="AT46" i="66"/>
  <c r="AP46" i="66"/>
  <c r="AT45" i="66"/>
  <c r="H52" i="66"/>
  <c r="AP45" i="66"/>
  <c r="E3" i="68" l="1"/>
  <c r="E24" i="68" s="1"/>
  <c r="F25" i="68" s="1"/>
  <c r="L3" i="68"/>
  <c r="L5" i="68" s="1"/>
  <c r="L6" i="68" s="1"/>
  <c r="L7" i="68" s="1"/>
  <c r="H43" i="66"/>
  <c r="H42" i="66"/>
  <c r="H44" i="66"/>
  <c r="J43" i="66"/>
  <c r="J42" i="66"/>
  <c r="J44" i="66"/>
  <c r="J46" i="66" l="1"/>
  <c r="J45" i="66"/>
  <c r="H46" i="66"/>
  <c r="H45" i="66"/>
  <c r="I1" i="68"/>
  <c r="D10" i="54"/>
  <c r="G38" i="54" l="1"/>
  <c r="G41" i="54" s="1"/>
  <c r="G45" i="54" s="1"/>
  <c r="D13" i="54"/>
  <c r="F38" i="54"/>
  <c r="F41" i="54" s="1"/>
  <c r="F45" i="54" s="1"/>
  <c r="D38" i="54"/>
  <c r="D41" i="54" s="1"/>
  <c r="D45" i="54" s="1"/>
  <c r="H38" i="54"/>
  <c r="I41" i="54" s="1"/>
  <c r="C38" i="54"/>
  <c r="C41" i="54" s="1"/>
  <c r="C45" i="54" s="1"/>
  <c r="E38" i="54"/>
  <c r="E41" i="54" s="1"/>
  <c r="E45" i="54" s="1"/>
  <c r="D24" i="54" l="1"/>
  <c r="D30" i="54" s="1"/>
  <c r="J24" i="54"/>
  <c r="J30" i="54" s="1"/>
  <c r="J33" i="54" s="1"/>
  <c r="B24" i="54"/>
  <c r="B30" i="54" s="1"/>
  <c r="F30" i="54"/>
  <c r="H41" i="54"/>
  <c r="D31" i="54" l="1"/>
  <c r="D32" i="54" s="1"/>
  <c r="D33" i="54"/>
  <c r="H45" i="54"/>
  <c r="I45" i="54" s="1"/>
  <c r="I46" i="54" s="1"/>
  <c r="H46" i="54" s="1"/>
  <c r="B31" i="54"/>
  <c r="B32" i="54" s="1"/>
  <c r="B33" i="54"/>
  <c r="J31" i="54"/>
  <c r="J32" i="54" s="1"/>
  <c r="F31" i="54"/>
  <c r="F32" i="54" s="1"/>
  <c r="F33" i="54"/>
  <c r="I47" i="54" l="1"/>
  <c r="J2" i="54" l="1"/>
  <c r="H47" i="54"/>
  <c r="J1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 Goel</author>
  </authors>
  <commentList>
    <comment ref="V5" authorId="0" shapeId="0" xr:uid="{4E85DE60-B3CD-43A4-9116-EC65B7DD5692}">
      <text>
        <r>
          <rPr>
            <b/>
            <sz val="9"/>
            <color indexed="81"/>
            <rFont val="Tahoma"/>
            <family val="2"/>
          </rPr>
          <t>PJ Goel:</t>
        </r>
        <r>
          <rPr>
            <sz val="9"/>
            <color indexed="81"/>
            <rFont val="Tahoma"/>
            <family val="2"/>
          </rPr>
          <t xml:space="preserve">
Effective 1-1-27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<sst xmlns="http://schemas.openxmlformats.org/spreadsheetml/2006/main" count="4506" uniqueCount="2306">
  <si>
    <t>Company</t>
  </si>
  <si>
    <t>Delaware Cornerstone Builders, Inc.</t>
  </si>
  <si>
    <t>PROJECT START UP SHEET</t>
  </si>
  <si>
    <t>Domain</t>
  </si>
  <si>
    <t>Applicable</t>
  </si>
  <si>
    <t>Job Name:</t>
  </si>
  <si>
    <t>Job No.</t>
  </si>
  <si>
    <t>-----</t>
  </si>
  <si>
    <t>Mechanical Contractor (Who we have contract with)</t>
  </si>
  <si>
    <t>Contract Type</t>
  </si>
  <si>
    <t xml:space="preserve">  Prime Contractor</t>
  </si>
  <si>
    <t>Checkbox Prime</t>
  </si>
  <si>
    <t>Goel Services, Inc.</t>
  </si>
  <si>
    <t>goelservices.com</t>
  </si>
  <si>
    <t>Contractor</t>
  </si>
  <si>
    <t xml:space="preserve">  Subcontractor</t>
  </si>
  <si>
    <t>Checkbox Subcontractor</t>
  </si>
  <si>
    <t>Goel DC, LLC</t>
  </si>
  <si>
    <t>goeldc.com</t>
  </si>
  <si>
    <t>Not applicable</t>
  </si>
  <si>
    <t>Address 1</t>
  </si>
  <si>
    <t>Form of Contract (provide copy with Startup)</t>
  </si>
  <si>
    <t>dcbuilders.com</t>
  </si>
  <si>
    <t>Address 2</t>
  </si>
  <si>
    <t xml:space="preserve">Purchase order </t>
  </si>
  <si>
    <t>Checkbox PO</t>
  </si>
  <si>
    <t>City, State, Zip</t>
  </si>
  <si>
    <t>Subcontract/Contract</t>
  </si>
  <si>
    <t>Checkbox Subcontract</t>
  </si>
  <si>
    <t>Office Phone</t>
  </si>
  <si>
    <t>Verbal</t>
  </si>
  <si>
    <t>Checkbox Verbal</t>
  </si>
  <si>
    <t>Fax</t>
  </si>
  <si>
    <t>Email</t>
  </si>
  <si>
    <t>Checkbox Email</t>
  </si>
  <si>
    <t>Client Contact</t>
  </si>
  <si>
    <t>Other</t>
  </si>
  <si>
    <t>Checkbox Other</t>
  </si>
  <si>
    <t>Budget</t>
  </si>
  <si>
    <t>Client Phone</t>
  </si>
  <si>
    <t>Contract Price</t>
  </si>
  <si>
    <t>Send Bills to (Name)</t>
  </si>
  <si>
    <t>In House /Temp Labor</t>
  </si>
  <si>
    <t>Email to:</t>
  </si>
  <si>
    <t>Material Budget</t>
  </si>
  <si>
    <t>Phone #</t>
  </si>
  <si>
    <t>Equipment Budget</t>
  </si>
  <si>
    <t>Checkbox Mech Bond Yes</t>
  </si>
  <si>
    <t>Are they Bonded</t>
  </si>
  <si>
    <t xml:space="preserve">            YES                                             NO</t>
  </si>
  <si>
    <t>Bond Cost</t>
  </si>
  <si>
    <t>Checkbox Mech Bond No</t>
  </si>
  <si>
    <t>Sureties Name</t>
  </si>
  <si>
    <t>OTH/Sub Budget</t>
  </si>
  <si>
    <t>Bonded?</t>
  </si>
  <si>
    <t>Contractor (Who mechanical has contract with)</t>
  </si>
  <si>
    <t>Cost Estimate</t>
  </si>
  <si>
    <t>Be Conservative</t>
  </si>
  <si>
    <t>Average Labor Rate</t>
  </si>
  <si>
    <t>Checkbox - 2nd or 3rd tier</t>
  </si>
  <si>
    <t>Add 5% for markup if subcontracting to Goel</t>
  </si>
  <si>
    <t>Labor Manhours</t>
  </si>
  <si>
    <t>Projected Start Date</t>
  </si>
  <si>
    <t>Projected End Date</t>
  </si>
  <si>
    <t>Is Labor to be subcontracted to Goel Services?</t>
  </si>
  <si>
    <t>Is Labor to be sucontracted to Goel</t>
  </si>
  <si>
    <t>Owner Information</t>
  </si>
  <si>
    <t>Prime Contract #</t>
  </si>
  <si>
    <t>Owner Name</t>
  </si>
  <si>
    <t>Address</t>
  </si>
  <si>
    <t>Prime Contractor</t>
  </si>
  <si>
    <t>Phone</t>
  </si>
  <si>
    <t>Certified Payroll</t>
  </si>
  <si>
    <t>Client Contact/PM</t>
  </si>
  <si>
    <t>Yes - Include CP Wage Decision # and copy with startup</t>
  </si>
  <si>
    <t>Checkbox CP Yes</t>
  </si>
  <si>
    <t>Wage Decision #</t>
  </si>
  <si>
    <t>No</t>
  </si>
  <si>
    <t>Checkbox CP No</t>
  </si>
  <si>
    <t>Wage (Excluding Fringe)</t>
  </si>
  <si>
    <t>Fringe (min fringe = $3.93)</t>
  </si>
  <si>
    <t>Site Information</t>
  </si>
  <si>
    <t>Location Name</t>
  </si>
  <si>
    <t>Send Certified Payrolls to:</t>
  </si>
  <si>
    <t>Checkbox Prime Bond Yes</t>
  </si>
  <si>
    <t>Checkbox Prime Bond No</t>
  </si>
  <si>
    <t>City, State, Zip Code</t>
  </si>
  <si>
    <t>Super Contact/PM</t>
  </si>
  <si>
    <t>Super Email</t>
  </si>
  <si>
    <t>Super Phone</t>
  </si>
  <si>
    <t>Prime Contractor's OCIP</t>
  </si>
  <si>
    <t>Attn (Name)</t>
  </si>
  <si>
    <t>Yes</t>
  </si>
  <si>
    <t>Email to send to:</t>
  </si>
  <si>
    <t>CP. Phone</t>
  </si>
  <si>
    <t>Drawings conformed on MIKE to show all scope, VE's etc. and converted to PDF. Printout included with estimates from MIKE per schedule</t>
  </si>
  <si>
    <t>Send via email or mail</t>
  </si>
  <si>
    <t>Provided</t>
  </si>
  <si>
    <t>Not Provided</t>
  </si>
  <si>
    <t>Mail</t>
  </si>
  <si>
    <t>Bond to be provided</t>
  </si>
  <si>
    <t>Does subcontract discuss pre-insulated blocks, vitaulic fittings, painting and jacketing requirements?</t>
  </si>
  <si>
    <t>Checkbox Mail</t>
  </si>
  <si>
    <t>Checkbox OCIP YES</t>
  </si>
  <si>
    <t>No:  If not risk?</t>
  </si>
  <si>
    <t>Checkbox OCIP No</t>
  </si>
  <si>
    <t>Attendence, Travel, or Parking Expense?</t>
  </si>
  <si>
    <t>Check all that apply</t>
  </si>
  <si>
    <t>Attendance</t>
  </si>
  <si>
    <t>Yes (If yes - please identify agreements)</t>
  </si>
  <si>
    <t>Mechanical Insulator</t>
  </si>
  <si>
    <t>Checkbox Bond Yes</t>
  </si>
  <si>
    <t>Laborer - Common or Unskilled</t>
  </si>
  <si>
    <t>Checkbox Bond No</t>
  </si>
  <si>
    <t>Carpenter</t>
  </si>
  <si>
    <t>Checkbox Mechanical Insulation</t>
  </si>
  <si>
    <t>Haz Mat Handler (Removal of existing insulation)</t>
  </si>
  <si>
    <t>Checkbox Carpenter</t>
  </si>
  <si>
    <t>Helper</t>
  </si>
  <si>
    <t>Checkbox Laborer - Common or Unskilled</t>
  </si>
  <si>
    <t>Is project Tax exempt?</t>
  </si>
  <si>
    <t>Checkbox HazMat</t>
  </si>
  <si>
    <t>Yes (If yes - attach certificate)</t>
  </si>
  <si>
    <t>SOV provided?</t>
  </si>
  <si>
    <t>Schedule provided by Mech?</t>
  </si>
  <si>
    <t>Checkbox Other 1</t>
  </si>
  <si>
    <t>Checkbox Other 2</t>
  </si>
  <si>
    <t>Other Special Instructions (please identify any special rates; etc..)</t>
  </si>
  <si>
    <t>MIKE info provided</t>
  </si>
  <si>
    <t>MIKE info not provided</t>
  </si>
  <si>
    <t>Tax exempt - yes</t>
  </si>
  <si>
    <t>Tax exempt - no</t>
  </si>
  <si>
    <t>Date</t>
  </si>
  <si>
    <t>Name/ Signature</t>
  </si>
  <si>
    <t>Insulation Division Manager Signature</t>
  </si>
  <si>
    <t>BID Estimate #</t>
  </si>
  <si>
    <t>IDC6098</t>
  </si>
  <si>
    <t>Bid Name</t>
  </si>
  <si>
    <t xml:space="preserve">SCU Replacement Basement to 6th Floor, East &amp; West </t>
  </si>
  <si>
    <t>Team</t>
  </si>
  <si>
    <t>MIKE Estimate</t>
  </si>
  <si>
    <t>PJ Estimate</t>
  </si>
  <si>
    <t>Bid Date</t>
  </si>
  <si>
    <t>Company Bidding</t>
  </si>
  <si>
    <t>Bil Shams</t>
  </si>
  <si>
    <t>Cost per Hr</t>
  </si>
  <si>
    <t>Captain</t>
  </si>
  <si>
    <t>Bid Clerk</t>
  </si>
  <si>
    <t>Assistant Estimator</t>
  </si>
  <si>
    <t>Margin</t>
  </si>
  <si>
    <t>Hours and Wages (do not correct till you add MIKE info)</t>
  </si>
  <si>
    <t>PLA</t>
  </si>
  <si>
    <t>Lifts</t>
  </si>
  <si>
    <t>Wage</t>
  </si>
  <si>
    <t>Duct 1</t>
  </si>
  <si>
    <t>Duct 2</t>
  </si>
  <si>
    <t>Hydronic 1</t>
  </si>
  <si>
    <t>Hydronic 2</t>
  </si>
  <si>
    <t>Plumbing 1</t>
  </si>
  <si>
    <t>Plumbing 2</t>
  </si>
  <si>
    <t>John Alex Lopez</t>
  </si>
  <si>
    <t>Hours per day</t>
  </si>
  <si>
    <t>Category</t>
  </si>
  <si>
    <t>----</t>
  </si>
  <si>
    <t>Wage Rate Year</t>
  </si>
  <si>
    <t>Wage Rate</t>
  </si>
  <si>
    <t>Wage Rate Fringe</t>
  </si>
  <si>
    <t>Wage Rate Total</t>
  </si>
  <si>
    <t xml:space="preserve">Wage As of </t>
  </si>
  <si>
    <t>Wage Rate Next update</t>
  </si>
  <si>
    <t>Wage Rate List</t>
  </si>
  <si>
    <t>What State is this project in?</t>
  </si>
  <si>
    <t>DC</t>
  </si>
  <si>
    <t>Project Type</t>
  </si>
  <si>
    <t>New Construction with deep shoring - small</t>
  </si>
  <si>
    <t>Days per Week</t>
  </si>
  <si>
    <t>MBE or preference</t>
  </si>
  <si>
    <t>% of people on Lifts we provide</t>
  </si>
  <si>
    <t>NON-SCALE</t>
  </si>
  <si>
    <t>Wilder Rodriguez</t>
  </si>
  <si>
    <t>Hassan Riaz</t>
  </si>
  <si>
    <t>John Carlo Orpilla</t>
  </si>
  <si>
    <t>Jonathan Bruce</t>
  </si>
  <si>
    <t>Brian Angelo Limon</t>
  </si>
  <si>
    <t>Hennan Berberio</t>
  </si>
  <si>
    <t>Mark Chua</t>
  </si>
  <si>
    <t>Hours (per week)</t>
  </si>
  <si>
    <t>Hours</t>
  </si>
  <si>
    <t>Lift cost average rental per 4 weeks</t>
  </si>
  <si>
    <t>scale</t>
  </si>
  <si>
    <t>2026 - DC/Federal in DC/CITIZEN</t>
  </si>
  <si>
    <t>Mark Tan</t>
  </si>
  <si>
    <t>Marc Maniago</t>
  </si>
  <si>
    <t>Oliver Crucero</t>
  </si>
  <si>
    <t>Maristella Malamug</t>
  </si>
  <si>
    <t>Kevin Strauss</t>
  </si>
  <si>
    <t>Ralph Resare</t>
  </si>
  <si>
    <t>Hugh Belangel</t>
  </si>
  <si>
    <t>GSF of Building</t>
  </si>
  <si>
    <t>Number of personnel</t>
  </si>
  <si>
    <t>Total for lifts on this project</t>
  </si>
  <si>
    <t>2026 - Maryland/Federal</t>
  </si>
  <si>
    <t>Mike Robberts</t>
  </si>
  <si>
    <t>Mike Roberts</t>
  </si>
  <si>
    <t>Rhal Dumol</t>
  </si>
  <si>
    <t>Wesley Morris</t>
  </si>
  <si>
    <t>Gerald Ordonez</t>
  </si>
  <si>
    <t>Jeremee Camat</t>
  </si>
  <si>
    <t>Joel Simplina</t>
  </si>
  <si>
    <t>Junel Neri</t>
  </si>
  <si>
    <t>Is the job scale</t>
  </si>
  <si>
    <t>NON-SCALE - W: ($30 + F: $7.29) = Total of $37.29</t>
  </si>
  <si>
    <t>Does O/CCIP cover WC?</t>
  </si>
  <si>
    <t>Backcheck (hours)</t>
  </si>
  <si>
    <t>Parking</t>
  </si>
  <si>
    <t>2026 - Virginia</t>
  </si>
  <si>
    <t xml:space="preserve">Wage </t>
  </si>
  <si>
    <t>Material Escalation</t>
  </si>
  <si>
    <t>2024 - MD Prevail</t>
  </si>
  <si>
    <r>
      <t xml:space="preserve">When will our work begin </t>
    </r>
    <r>
      <rPr>
        <b/>
        <sz val="9"/>
        <color theme="1"/>
        <rFont val="Calibri"/>
        <family val="2"/>
        <scheme val="minor"/>
      </rPr>
      <t>mm/YY (you can override)</t>
    </r>
  </si>
  <si>
    <t>TOTAL BIDDING LABOR RATE</t>
  </si>
  <si>
    <t>Fringe</t>
  </si>
  <si>
    <t>Escalation on materials per Year</t>
  </si>
  <si>
    <t>% of people on that will park</t>
  </si>
  <si>
    <r>
      <t xml:space="preserve">When will our work end </t>
    </r>
    <r>
      <rPr>
        <b/>
        <sz val="9"/>
        <color theme="1"/>
        <rFont val="Calibri"/>
        <family val="2"/>
        <scheme val="minor"/>
      </rPr>
      <t>MM/YY (you can override)</t>
    </r>
  </si>
  <si>
    <t>PARKING PER HOUR</t>
  </si>
  <si>
    <t>Totals</t>
  </si>
  <si>
    <t>Total escalation based on year work will begin</t>
  </si>
  <si>
    <t>Parking Cost per Day - we reimburse</t>
  </si>
  <si>
    <t>Duration of Project - Months</t>
  </si>
  <si>
    <t>LIFT PER HOUR</t>
  </si>
  <si>
    <t>Citizen Project</t>
  </si>
  <si>
    <t>Sales Tax Applicable</t>
  </si>
  <si>
    <t>Start in # of months from bid</t>
  </si>
  <si>
    <t>TOTAL LABOR PER HR WITH PARKING AND LIFTS</t>
  </si>
  <si>
    <t>Apprenticeable job</t>
  </si>
  <si>
    <t>Sales Tax %</t>
  </si>
  <si>
    <t>INPUT FIELD</t>
  </si>
  <si>
    <t>System</t>
  </si>
  <si>
    <r>
      <t xml:space="preserve">VRF 
</t>
    </r>
    <r>
      <rPr>
        <b/>
        <sz val="8"/>
        <color theme="0" tint="-4.9989318521683403E-2"/>
        <rFont val="Calibri"/>
        <family val="2"/>
        <scheme val="minor"/>
      </rPr>
      <t>(only include if not in hydronic)</t>
    </r>
  </si>
  <si>
    <r>
      <t xml:space="preserve">Equipment
</t>
    </r>
    <r>
      <rPr>
        <sz val="8"/>
        <color theme="1"/>
        <rFont val="Calibri"/>
        <family val="2"/>
        <scheme val="minor"/>
      </rPr>
      <t>(only include if not in MIKE)</t>
    </r>
  </si>
  <si>
    <t>MIKE Estimate Totals</t>
  </si>
  <si>
    <t>Take off Personnel</t>
  </si>
  <si>
    <t>MIKE Estimate #</t>
  </si>
  <si>
    <t>Materials without escalation</t>
  </si>
  <si>
    <t>Labor Hours</t>
  </si>
  <si>
    <t>TOTAL PRICE per MIKE</t>
  </si>
  <si>
    <t>Quantity (LF/SF)</t>
  </si>
  <si>
    <t>Quantity (This Sheet)</t>
  </si>
  <si>
    <t>Who was used</t>
  </si>
  <si>
    <t>Labor per hour</t>
  </si>
  <si>
    <t>Parking per hour</t>
  </si>
  <si>
    <t>Lifts per hour</t>
  </si>
  <si>
    <t>Materials/hour w escal+tax</t>
  </si>
  <si>
    <t>Material Sales Tax</t>
  </si>
  <si>
    <t>Total Cost per hour</t>
  </si>
  <si>
    <t>Cost per hour with Margin</t>
  </si>
  <si>
    <t>Cost based on math above</t>
  </si>
  <si>
    <t>Duct</t>
  </si>
  <si>
    <t>Hydronic</t>
  </si>
  <si>
    <t>Plumbing</t>
  </si>
  <si>
    <t>VRF</t>
  </si>
  <si>
    <t>Equipment</t>
  </si>
  <si>
    <t>Cost per hour</t>
  </si>
  <si>
    <t>Labor cost per hour</t>
  </si>
  <si>
    <t>Labor Total (no Margin)</t>
  </si>
  <si>
    <t>Materials (without escalations or profit)</t>
  </si>
  <si>
    <t>Subtotal</t>
  </si>
  <si>
    <t>Bid Price - PJ Calculation</t>
  </si>
  <si>
    <t>Bid Price - MIKE Calculation</t>
  </si>
  <si>
    <t>FINAL PRICE</t>
  </si>
  <si>
    <t>($)</t>
  </si>
  <si>
    <t>HRS</t>
  </si>
  <si>
    <t>LF</t>
  </si>
  <si>
    <t>SF</t>
  </si>
  <si>
    <t>Hydronic Pipe - Total In House/Temp Labor Budget</t>
  </si>
  <si>
    <t>Hydronic Pipe - Total Material Budget</t>
  </si>
  <si>
    <t>Hydronic Pipe - Total Equipment Budget</t>
  </si>
  <si>
    <t>Hydronic Pipe - Total Bond Budget</t>
  </si>
  <si>
    <t>Hydronic Pipe - Total Other/Sub Budget</t>
  </si>
  <si>
    <t>Hydronic Pipe - Total Labor Manhours</t>
  </si>
  <si>
    <t>Hydronic Pipe - Quantity Pipe (LF)</t>
  </si>
  <si>
    <t>Duct - Total In House/Temp Labor Budget</t>
  </si>
  <si>
    <t>Duct - Total Material Budget</t>
  </si>
  <si>
    <t>Duct - Total Equipment Budget</t>
  </si>
  <si>
    <t>Duct - Total Bond Budget</t>
  </si>
  <si>
    <t>Duct - Total Other/Sub Budget</t>
  </si>
  <si>
    <t>Duct - Total Labor Manhours</t>
  </si>
  <si>
    <t>Duct - Quantity Duct (SF)</t>
  </si>
  <si>
    <t>Plumbing - Total In House/Temp Labor Budget</t>
  </si>
  <si>
    <t>Plumbing - Total Material Budget</t>
  </si>
  <si>
    <t>Plumbing - Total Equipment Budget</t>
  </si>
  <si>
    <t>Plumbing - Total Bond Budget</t>
  </si>
  <si>
    <t>Plumbing - Total Other/Sub Budget</t>
  </si>
  <si>
    <t>Plumbing - Total Labor Manhours</t>
  </si>
  <si>
    <t>Plumbing - Quantity Pipe (LF)</t>
  </si>
  <si>
    <t>initial Labor Hour Budget</t>
  </si>
  <si>
    <t>Total Labor Hours Budget</t>
  </si>
  <si>
    <t>Total material Budget</t>
  </si>
  <si>
    <t>NOT FOR RELEASE - BIDDING ONLY - USE PM RATES</t>
  </si>
  <si>
    <t>WAGE RATE</t>
  </si>
  <si>
    <t>Reg</t>
  </si>
  <si>
    <t>OT</t>
  </si>
  <si>
    <t>Qnt</t>
  </si>
  <si>
    <t>Extended</t>
  </si>
  <si>
    <t>Hrs</t>
  </si>
  <si>
    <t>Asbestos Insulation Worker - Citizen/Prev Wage</t>
  </si>
  <si>
    <t>Asbestos Insulation Worker - Non Scale</t>
  </si>
  <si>
    <t>Working Asbestos Insulation Foreman (S5)</t>
  </si>
  <si>
    <t>Working Asbestos Insulation Foreman (S4)</t>
  </si>
  <si>
    <t>Working Asbestos Insulation Foreman (S3)</t>
  </si>
  <si>
    <t>Working Asbestos Insulation Foreman (S2)</t>
  </si>
  <si>
    <t>Working Asbestos Insulation Foreman (S1)</t>
  </si>
  <si>
    <t>Safety Inspector (S5)</t>
  </si>
  <si>
    <t>Duration in Months</t>
  </si>
  <si>
    <t>Asbestos Apprentice Step 1</t>
  </si>
  <si>
    <t>Asbestos Apprentice Step 2</t>
  </si>
  <si>
    <t>Asbestos Apprentice Step 3</t>
  </si>
  <si>
    <t>Asbestos Apprentice Step 4</t>
  </si>
  <si>
    <t>Asbestos Apprentice Step 5</t>
  </si>
  <si>
    <t>Ratio 1:</t>
  </si>
  <si>
    <t>Asbestos Apprentice Step 6</t>
  </si>
  <si>
    <t>Asbestos Apprentice Step 7</t>
  </si>
  <si>
    <t>Foreman</t>
  </si>
  <si>
    <t>Asbestos Apprentice Step 8</t>
  </si>
  <si>
    <t>Workers</t>
  </si>
  <si>
    <t>Project Manager (S10)</t>
  </si>
  <si>
    <t>Apprentices</t>
  </si>
  <si>
    <t>Shop Foreman (S10)</t>
  </si>
  <si>
    <t>Shop Insulator</t>
  </si>
  <si>
    <t>Warehouseman</t>
  </si>
  <si>
    <t>COST OF LABOR CALCULATOR</t>
  </si>
  <si>
    <t>Asbestos Insulation Worker</t>
  </si>
  <si>
    <t>Quality Control Inspector (S10)</t>
  </si>
  <si>
    <t>Next rate increase on:</t>
  </si>
  <si>
    <t>Hrs in Year (52 weeks x 40 hrs)</t>
  </si>
  <si>
    <t>YES</t>
  </si>
  <si>
    <t>Paid Holiday ("+A")</t>
  </si>
  <si>
    <t>CBA Fringe</t>
  </si>
  <si>
    <t>Non-Scale Worker</t>
  </si>
  <si>
    <t>Ops Manager</t>
  </si>
  <si>
    <t>NO</t>
  </si>
  <si>
    <t>Paid Sick, Personal Days</t>
  </si>
  <si>
    <t>Total</t>
  </si>
  <si>
    <t>Hrs per year / Basis of Benefits</t>
  </si>
  <si>
    <t>WAGE - Taxable Wages &amp; Taxable Fringes (See Below)</t>
  </si>
  <si>
    <t>Direct Labor Rate based on CBA (Actual for Individual or Average Rate for Typical Crew)</t>
  </si>
  <si>
    <t>Annual Cap - First</t>
  </si>
  <si>
    <t>Supervisor/QC/Safety additional over wage</t>
  </si>
  <si>
    <t>Cash as equivelent from unused Fringe Benefits (becomes taxable wages)</t>
  </si>
  <si>
    <t>Payroll Taxes (See Below) - INDIRECT COSTS</t>
  </si>
  <si>
    <t>Employer Labor Burdon Tax - Medicare Payroll Tax (FICA)</t>
  </si>
  <si>
    <t>Cap</t>
  </si>
  <si>
    <t>Employer Labor Burdon Tax - Federal Insurance Contributions Act (FICA) - Social Security Tax</t>
  </si>
  <si>
    <t>Employer Labor Burdon Tax - State Unemployment Taxes (SUTA) (recognizing annual cap at 1000 hrs basis)</t>
  </si>
  <si>
    <t>Hours in equ per worker</t>
  </si>
  <si>
    <t>Employer Labor Burdon Tax - Federal Unemployment Tax Act (FUTA) (recognizing annual cap)</t>
  </si>
  <si>
    <r>
      <t xml:space="preserve">Worker's Compensation Insurance
</t>
    </r>
    <r>
      <rPr>
        <sz val="10"/>
        <color theme="1"/>
        <rFont val="Calibri"/>
        <family val="2"/>
        <scheme val="minor"/>
      </rPr>
      <t xml:space="preserve">If CIPP/OCIP - Does WC coverage does not cover WC for PM, Ops, Safety, QC, and off site fabricators </t>
    </r>
  </si>
  <si>
    <t>Employer Labor Burdon Tax - Paid Family Leave act (PFL) - Currently appplicable in DC and in MD effective 1-1-27.</t>
  </si>
  <si>
    <t>MD</t>
  </si>
  <si>
    <t>Untaxed Fringes - Exempt under IRS qualified tax exepmt fringe deductions (See Below)</t>
  </si>
  <si>
    <t>Union Savings Program or Company IRA (3% match of Wage) or both</t>
  </si>
  <si>
    <t>PPO Health, Vision and Dental Insurance - $2.40 per hr</t>
  </si>
  <si>
    <t>Other Fringe Benefits in the Union Collective Bargaining Agreement</t>
  </si>
  <si>
    <t>Company Benefits (See Below) &amp; Other</t>
  </si>
  <si>
    <t>Laptop Computer with Remote Accesss thru AWS Workspaces ($100 per month)</t>
  </si>
  <si>
    <t xml:space="preserve">Tablet ($30 per month) </t>
  </si>
  <si>
    <t>Vehicle allowance ($600/Month)</t>
  </si>
  <si>
    <t>Rate</t>
  </si>
  <si>
    <t>Premium Over Time Rate</t>
  </si>
  <si>
    <t>Premium Double Time Rate</t>
  </si>
  <si>
    <r>
      <t xml:space="preserve">General Liability Insurance due to Revenue Based Insurance due to Environmental Remediation Coverages
($0.00 if Covered by </t>
    </r>
    <r>
      <rPr>
        <b/>
        <sz val="11"/>
        <color rgb="FFFF0000"/>
        <rFont val="Calibri"/>
        <family val="2"/>
        <scheme val="minor"/>
      </rPr>
      <t>CCIP and it covers Environmental remediation and Polution Liability Policies</t>
    </r>
    <r>
      <rPr>
        <sz val="11"/>
        <color theme="1"/>
        <rFont val="Calibri"/>
        <family val="2"/>
        <scheme val="minor"/>
      </rPr>
      <t xml:space="preserve"> )</t>
    </r>
  </si>
  <si>
    <t>Does O/CCIP cover GL Env Coverage?</t>
  </si>
  <si>
    <t>Total Rate per hr with GL</t>
  </si>
  <si>
    <t>Straight Time Rate with GL</t>
  </si>
  <si>
    <t>Over Time Rate with GL</t>
  </si>
  <si>
    <t>Double Time Rate - With GL</t>
  </si>
  <si>
    <t>Premium Over Time Rate - With GL</t>
  </si>
  <si>
    <t>Premium Double Time Rate - With GL</t>
  </si>
  <si>
    <t>Indirects</t>
  </si>
  <si>
    <t>HVAC Pipe</t>
  </si>
  <si>
    <t>HVAC_System</t>
  </si>
  <si>
    <t>HVAC_Systems_-_Abbreviations</t>
  </si>
  <si>
    <t>HVAC_Unit</t>
  </si>
  <si>
    <t>HVAC_Material_Code</t>
  </si>
  <si>
    <t>HVAC_Material_Description</t>
  </si>
  <si>
    <t>HVAC_Area_Code</t>
  </si>
  <si>
    <t>HVAC_Area_Name</t>
  </si>
  <si>
    <t>HVAC_Thickness</t>
  </si>
  <si>
    <t>HVAC_Pipe_Size</t>
  </si>
  <si>
    <t>Code</t>
  </si>
  <si>
    <t>Area</t>
  </si>
  <si>
    <t>Area Code</t>
  </si>
  <si>
    <t>Insulation</t>
  </si>
  <si>
    <t>Mike Code</t>
  </si>
  <si>
    <t>Unit</t>
  </si>
  <si>
    <t>Start Size</t>
  </si>
  <si>
    <t>End Size</t>
  </si>
  <si>
    <t>Thickness</t>
  </si>
  <si>
    <t>Extra Notes</t>
  </si>
  <si>
    <t>---</t>
  </si>
  <si>
    <t>AC Condensate</t>
  </si>
  <si>
    <t>All</t>
  </si>
  <si>
    <t>Fiberglass with ASJ</t>
  </si>
  <si>
    <t>ACD</t>
  </si>
  <si>
    <t>CAC</t>
  </si>
  <si>
    <t>Cal Sil W/ Canvas</t>
  </si>
  <si>
    <t>XX</t>
  </si>
  <si>
    <t>Advanced Plant Water</t>
  </si>
  <si>
    <t>APW</t>
  </si>
  <si>
    <t>CAS</t>
  </si>
  <si>
    <t>Cal Sil / Plain</t>
  </si>
  <si>
    <t>A</t>
  </si>
  <si>
    <t>Concealed</t>
  </si>
  <si>
    <t>Boiler Feed Water</t>
  </si>
  <si>
    <t>BFW</t>
  </si>
  <si>
    <t>CSA</t>
  </si>
  <si>
    <t xml:space="preserve">Cal Sil w/ Aluminum </t>
  </si>
  <si>
    <t>E</t>
  </si>
  <si>
    <t>Exposed</t>
  </si>
  <si>
    <t>Breeching</t>
  </si>
  <si>
    <t>BRE</t>
  </si>
  <si>
    <t>CSP</t>
  </si>
  <si>
    <t>Cal Sil W/ PVC</t>
  </si>
  <si>
    <t>M</t>
  </si>
  <si>
    <t>Mechanical</t>
  </si>
  <si>
    <t>Combustion Air</t>
  </si>
  <si>
    <t>CA</t>
  </si>
  <si>
    <t>CSS</t>
  </si>
  <si>
    <t>Cal Sil W/ Stainless Steel</t>
  </si>
  <si>
    <t>O</t>
  </si>
  <si>
    <t>Outdoors</t>
  </si>
  <si>
    <t>Continuous Blowdown</t>
  </si>
  <si>
    <t>CBD</t>
  </si>
  <si>
    <t>DWP</t>
  </si>
  <si>
    <t>Duct Wrap on Pipe</t>
  </si>
  <si>
    <t>G</t>
  </si>
  <si>
    <t>Underground</t>
  </si>
  <si>
    <t>Chilled Beam</t>
  </si>
  <si>
    <t>CHB</t>
  </si>
  <si>
    <t>FGA</t>
  </si>
  <si>
    <t>P</t>
  </si>
  <si>
    <t>Chilled Water</t>
  </si>
  <si>
    <t>CHW</t>
  </si>
  <si>
    <t>FGC</t>
  </si>
  <si>
    <t>Fiberglass w/ Canvas</t>
  </si>
  <si>
    <t>T</t>
  </si>
  <si>
    <t>Attic</t>
  </si>
  <si>
    <t>Condensor Water</t>
  </si>
  <si>
    <t>CON</t>
  </si>
  <si>
    <t>FGP</t>
  </si>
  <si>
    <t>Fiberglass w/ PVC</t>
  </si>
  <si>
    <t>C</t>
  </si>
  <si>
    <t>Crawlspace</t>
  </si>
  <si>
    <t>Dual Temp Piping</t>
  </si>
  <si>
    <t>DTP</t>
  </si>
  <si>
    <t>FAL</t>
  </si>
  <si>
    <t>Fiberglass w/ Aluminum</t>
  </si>
  <si>
    <t>W</t>
  </si>
  <si>
    <t>Wall</t>
  </si>
  <si>
    <t>Fuel Oil Piping</t>
  </si>
  <si>
    <t>FOL</t>
  </si>
  <si>
    <t>FGS</t>
  </si>
  <si>
    <t>Fiberglass w/ Stainless Steel</t>
  </si>
  <si>
    <t>V</t>
  </si>
  <si>
    <t>Vertical</t>
  </si>
  <si>
    <t>Geothermal Piping</t>
  </si>
  <si>
    <t>GEO</t>
  </si>
  <si>
    <t>FGV</t>
  </si>
  <si>
    <t>Fiberglass w/ VIC</t>
  </si>
  <si>
    <t xml:space="preserve">U </t>
  </si>
  <si>
    <t>Under Floor</t>
  </si>
  <si>
    <t>Generator Exhaust</t>
  </si>
  <si>
    <t>GEX</t>
  </si>
  <si>
    <t>FVC</t>
  </si>
  <si>
    <t>Fiberglass w/ VIC / Canvas</t>
  </si>
  <si>
    <t>I</t>
  </si>
  <si>
    <t>Vault</t>
  </si>
  <si>
    <t>Glycol Piping</t>
  </si>
  <si>
    <t>GLY</t>
  </si>
  <si>
    <t>FVP</t>
  </si>
  <si>
    <t>Fiberglass w/ VIC / PVC</t>
  </si>
  <si>
    <t>J</t>
  </si>
  <si>
    <t>Tunnel</t>
  </si>
  <si>
    <t>High Pressure Steam</t>
  </si>
  <si>
    <t>HPS</t>
  </si>
  <si>
    <t>FVA</t>
  </si>
  <si>
    <t>Fiberglass w/ VIC / Aluminum</t>
  </si>
  <si>
    <t>K</t>
  </si>
  <si>
    <t>Trench</t>
  </si>
  <si>
    <t>Medium Pressure Steam</t>
  </si>
  <si>
    <t>MPS</t>
  </si>
  <si>
    <t>FVS</t>
  </si>
  <si>
    <t>Fiberglass w/ VIC / Stainless</t>
  </si>
  <si>
    <t>L</t>
  </si>
  <si>
    <t>Lagging / Liner</t>
  </si>
  <si>
    <t>Low Pressure Steam</t>
  </si>
  <si>
    <t>LPS</t>
  </si>
  <si>
    <t>FLX</t>
  </si>
  <si>
    <t xml:space="preserve">Armaflex </t>
  </si>
  <si>
    <t>H</t>
  </si>
  <si>
    <t>Heat Trace</t>
  </si>
  <si>
    <t>Steam Condensate</t>
  </si>
  <si>
    <t>SCD</t>
  </si>
  <si>
    <t>FLC</t>
  </si>
  <si>
    <t>Armaflex W/ Canvas</t>
  </si>
  <si>
    <t>Q</t>
  </si>
  <si>
    <t>Concealed Double Layer</t>
  </si>
  <si>
    <t>High Temp Steam Condensate</t>
  </si>
  <si>
    <t>HSC</t>
  </si>
  <si>
    <t>FLP</t>
  </si>
  <si>
    <t>Armaflex W/ PVC</t>
  </si>
  <si>
    <t>D</t>
  </si>
  <si>
    <t>Exposed Double Layer</t>
  </si>
  <si>
    <t>Medium Temp Steam Condensate</t>
  </si>
  <si>
    <t>MSC</t>
  </si>
  <si>
    <t>FLA</t>
  </si>
  <si>
    <t>Armaflex W/ Aluminum</t>
  </si>
  <si>
    <t>S</t>
  </si>
  <si>
    <t>Mechanical Double Layer</t>
  </si>
  <si>
    <t>Low Temp Steam Condensate</t>
  </si>
  <si>
    <t>LSC</t>
  </si>
  <si>
    <t>FLS</t>
  </si>
  <si>
    <t>Armaflex W/ Stainless</t>
  </si>
  <si>
    <t>F</t>
  </si>
  <si>
    <t>Outdoor Double Layer</t>
  </si>
  <si>
    <t>Heat Recovery</t>
  </si>
  <si>
    <t>HRE</t>
  </si>
  <si>
    <t>FMG</t>
  </si>
  <si>
    <t>Foamglass</t>
  </si>
  <si>
    <t>B-06</t>
  </si>
  <si>
    <t xml:space="preserve">Protection - Below - 06' ft. </t>
  </si>
  <si>
    <t>Heat Traced Piping</t>
  </si>
  <si>
    <t>HTP</t>
  </si>
  <si>
    <t>FMA</t>
  </si>
  <si>
    <t>Foamglass w/ Aluminum</t>
  </si>
  <si>
    <t>B-08</t>
  </si>
  <si>
    <t xml:space="preserve">Protection - Below - 08' ft. </t>
  </si>
  <si>
    <t>Hot Water Heating</t>
  </si>
  <si>
    <t>HWH</t>
  </si>
  <si>
    <t>FMP</t>
  </si>
  <si>
    <t>Foamglass  w/ PVC</t>
  </si>
  <si>
    <t>B-10</t>
  </si>
  <si>
    <t xml:space="preserve">Protection - Below - 10' ft. </t>
  </si>
  <si>
    <t>Pumped Condensate</t>
  </si>
  <si>
    <t>PC</t>
  </si>
  <si>
    <t>FMC</t>
  </si>
  <si>
    <t>Foamglass w/ Canvas</t>
  </si>
  <si>
    <t>B-12</t>
  </si>
  <si>
    <t xml:space="preserve">Protection - Below - 12' ft. </t>
  </si>
  <si>
    <t>Primary Chilled Water</t>
  </si>
  <si>
    <t>PCH</t>
  </si>
  <si>
    <t>FMS</t>
  </si>
  <si>
    <t>Foamglass w/ Stainless</t>
  </si>
  <si>
    <t>B-15</t>
  </si>
  <si>
    <t xml:space="preserve">Protection - Below -15' ft. </t>
  </si>
  <si>
    <t>Process Cooling Water</t>
  </si>
  <si>
    <t>PCW</t>
  </si>
  <si>
    <t>FMV</t>
  </si>
  <si>
    <t>Foamglass w/VIC</t>
  </si>
  <si>
    <t>Refrigerant</t>
  </si>
  <si>
    <t>REF</t>
  </si>
  <si>
    <t>FAV</t>
  </si>
  <si>
    <t>Foamglass w/VIC/Aluminum</t>
  </si>
  <si>
    <t>Refrigerant Liquid</t>
  </si>
  <si>
    <t>RL</t>
  </si>
  <si>
    <t>FPV</t>
  </si>
  <si>
    <t>Foamglass  w/VIC/ PVC</t>
  </si>
  <si>
    <t>Refrigerant Suction</t>
  </si>
  <si>
    <t>RS</t>
  </si>
  <si>
    <t>FCV</t>
  </si>
  <si>
    <t>Foamglass w/VIC/Canvas</t>
  </si>
  <si>
    <t>Refrigerant Gas</t>
  </si>
  <si>
    <t>RG</t>
  </si>
  <si>
    <t>FSV</t>
  </si>
  <si>
    <t>Foamglass w/VIC/Stainless</t>
  </si>
  <si>
    <t>Secondary Chilled Water</t>
  </si>
  <si>
    <t>SCH</t>
  </si>
  <si>
    <t>Polyiso</t>
  </si>
  <si>
    <t>Steam Vent</t>
  </si>
  <si>
    <t>STV</t>
  </si>
  <si>
    <t>Phenolic</t>
  </si>
  <si>
    <t>Plumbing_System</t>
  </si>
  <si>
    <t>Plumbing_Systems_-_Abbreviations</t>
  </si>
  <si>
    <t>Plumbing_Unit</t>
  </si>
  <si>
    <t>Plumbing_Material_Code</t>
  </si>
  <si>
    <t>Plumbing_Material_Description</t>
  </si>
  <si>
    <t>Plumbing_Area_Code</t>
  </si>
  <si>
    <t>Plumbing_Area_Name</t>
  </si>
  <si>
    <t>Plumbing_Thickness</t>
  </si>
  <si>
    <t>Plumbing_Pipe_Size</t>
  </si>
  <si>
    <t>Domestic Cold Water</t>
  </si>
  <si>
    <t>DCW</t>
  </si>
  <si>
    <t>Domestic Hot Water</t>
  </si>
  <si>
    <t>DHW</t>
  </si>
  <si>
    <t>Compressed Air</t>
  </si>
  <si>
    <t>Clear Water Waste</t>
  </si>
  <si>
    <t>CWW</t>
  </si>
  <si>
    <t>Fuel Oil Pipe</t>
  </si>
  <si>
    <t>Garage Drain</t>
  </si>
  <si>
    <t>GD</t>
  </si>
  <si>
    <t>High Purity Water</t>
  </si>
  <si>
    <t>HPW</t>
  </si>
  <si>
    <t>Laboratory Air</t>
  </si>
  <si>
    <t>LA</t>
  </si>
  <si>
    <t>Laboratory Domestic Cold Water</t>
  </si>
  <si>
    <t>LDC</t>
  </si>
  <si>
    <t>Laboratory Domestic Hot Water</t>
  </si>
  <si>
    <t>LDH</t>
  </si>
  <si>
    <t>Make up Water</t>
  </si>
  <si>
    <t>MUW</t>
  </si>
  <si>
    <t>Non Potable Water</t>
  </si>
  <si>
    <t xml:space="preserve">NPW </t>
  </si>
  <si>
    <t xml:space="preserve">PC </t>
  </si>
  <si>
    <t>P - Traps</t>
  </si>
  <si>
    <t>PTR</t>
  </si>
  <si>
    <t>Roof Drain</t>
  </si>
  <si>
    <t>RFD</t>
  </si>
  <si>
    <t>Reverse Osmosis</t>
  </si>
  <si>
    <t>RO</t>
  </si>
  <si>
    <t>Sanitary Waste</t>
  </si>
  <si>
    <t>SAN</t>
  </si>
  <si>
    <t>Tempered Water</t>
  </si>
  <si>
    <t>TEM</t>
  </si>
  <si>
    <t>Vent</t>
  </si>
  <si>
    <t>VNT</t>
  </si>
  <si>
    <t>Vertical Storm Drain</t>
  </si>
  <si>
    <t xml:space="preserve">VRD </t>
  </si>
  <si>
    <t>Secondary Storm</t>
  </si>
  <si>
    <t>SST</t>
  </si>
  <si>
    <t>Horizontal Storm Drain</t>
  </si>
  <si>
    <t xml:space="preserve">HRD </t>
  </si>
  <si>
    <t>Storm</t>
  </si>
  <si>
    <t>ST</t>
  </si>
  <si>
    <t>Overflow Storm</t>
  </si>
  <si>
    <t>OFS</t>
  </si>
  <si>
    <t>Rain Harvest</t>
  </si>
  <si>
    <t>MSA</t>
  </si>
  <si>
    <t>Medium Pressure Supply Air</t>
  </si>
  <si>
    <t>Types - Universal</t>
  </si>
  <si>
    <t>Materials</t>
  </si>
  <si>
    <t>LSA</t>
  </si>
  <si>
    <t>Low Pressure Supply Air</t>
  </si>
  <si>
    <t>Types</t>
  </si>
  <si>
    <t>1.5" 3/4lb Duct Wrap</t>
  </si>
  <si>
    <t>RET</t>
  </si>
  <si>
    <t>Return Air</t>
  </si>
  <si>
    <t>2" 3/4lb Duct Wrap</t>
  </si>
  <si>
    <t>EXH</t>
  </si>
  <si>
    <t>Exhaust Air</t>
  </si>
  <si>
    <t>1.5" 1lb Duct Wrap</t>
  </si>
  <si>
    <t>OSA</t>
  </si>
  <si>
    <t>Outside Air</t>
  </si>
  <si>
    <t>2" 1lb Duct Wrap</t>
  </si>
  <si>
    <t>Heat Recovery Exhaust</t>
  </si>
  <si>
    <t>1.5" 1.5lb Wrap</t>
  </si>
  <si>
    <t>HRR</t>
  </si>
  <si>
    <t>Heat Recovery Return</t>
  </si>
  <si>
    <t>2" 1.5lb Wrap</t>
  </si>
  <si>
    <t>KHE</t>
  </si>
  <si>
    <t>Kitchen Hood Exhaust</t>
  </si>
  <si>
    <t>13A</t>
  </si>
  <si>
    <t>1.5" 3lb Board ASJ</t>
  </si>
  <si>
    <t>FRD</t>
  </si>
  <si>
    <t>Fire Rated Duct</t>
  </si>
  <si>
    <t>13F</t>
  </si>
  <si>
    <t>1.5" 3lb Board FSK</t>
  </si>
  <si>
    <t>STP</t>
  </si>
  <si>
    <t>Stairwell Pressurization</t>
  </si>
  <si>
    <t>13C</t>
  </si>
  <si>
    <t>1.5" 3lb Board FSK w/Canvas</t>
  </si>
  <si>
    <t xml:space="preserve">DOA </t>
  </si>
  <si>
    <t>DOAS Supply</t>
  </si>
  <si>
    <t>13P</t>
  </si>
  <si>
    <t>1.5" 3lb Board FSK w/PVC</t>
  </si>
  <si>
    <t>DOR</t>
  </si>
  <si>
    <t>DOAS Return</t>
  </si>
  <si>
    <t>23A</t>
  </si>
  <si>
    <t>2" 3lb Board ASJ</t>
  </si>
  <si>
    <t>ERR</t>
  </si>
  <si>
    <t>Energy Recovery Return</t>
  </si>
  <si>
    <t>23F</t>
  </si>
  <si>
    <t>2" 3lb Board FSK</t>
  </si>
  <si>
    <t>ERS</t>
  </si>
  <si>
    <t>Energy Recovery Supply</t>
  </si>
  <si>
    <t>23C</t>
  </si>
  <si>
    <t>2" 3lb Board FSK w/Canvas</t>
  </si>
  <si>
    <t>DWE</t>
  </si>
  <si>
    <t>Dish Washer Exhaust</t>
  </si>
  <si>
    <t>23P</t>
  </si>
  <si>
    <t>2" 3lb Board FSK w/PVC</t>
  </si>
  <si>
    <t>MUA</t>
  </si>
  <si>
    <t>Make Up Air</t>
  </si>
  <si>
    <t>16A</t>
  </si>
  <si>
    <t>1.5" 6lb Board ASJ</t>
  </si>
  <si>
    <t>MAR</t>
  </si>
  <si>
    <t>Make up Return Air</t>
  </si>
  <si>
    <t>16F</t>
  </si>
  <si>
    <t>1.5" 6lb Board FSK</t>
  </si>
  <si>
    <t>MXA</t>
  </si>
  <si>
    <t>Mixed Air</t>
  </si>
  <si>
    <t>B</t>
  </si>
  <si>
    <t xml:space="preserve">Below -' ft. </t>
  </si>
  <si>
    <t>16C</t>
  </si>
  <si>
    <t>1.5" 6lb Board FSK w/Canvas</t>
  </si>
  <si>
    <t xml:space="preserve">REL </t>
  </si>
  <si>
    <t>Relief Air</t>
  </si>
  <si>
    <t>16P</t>
  </si>
  <si>
    <t>1.5" 6lb Board FSK w/PVC</t>
  </si>
  <si>
    <t>TRA</t>
  </si>
  <si>
    <t>Transfer Air</t>
  </si>
  <si>
    <t>26A</t>
  </si>
  <si>
    <t>2" 6lb Board ASJ</t>
  </si>
  <si>
    <t>26F</t>
  </si>
  <si>
    <t>2" 6lb Board FSK</t>
  </si>
  <si>
    <t>26C</t>
  </si>
  <si>
    <t>2" 6lb Board FSK w/Canvas</t>
  </si>
  <si>
    <t>26P</t>
  </si>
  <si>
    <t>2" 6lb Board FSK w/PVC</t>
  </si>
  <si>
    <t>13O</t>
  </si>
  <si>
    <t>1.5" 3lb Board FSK w/Weather Proof Jacket</t>
  </si>
  <si>
    <t>23O</t>
  </si>
  <si>
    <t>2" 3lb Board FSK w/Weather Proof Jacket</t>
  </si>
  <si>
    <t>16O</t>
  </si>
  <si>
    <t>1.5" 6lb Board FSK w/Weather Proof Jacket</t>
  </si>
  <si>
    <t>26O</t>
  </si>
  <si>
    <t>2" 6lb Board FSK w/Weather Proof Jacket</t>
  </si>
  <si>
    <t>ATF</t>
  </si>
  <si>
    <t>Armatuff</t>
  </si>
  <si>
    <t>FMW</t>
  </si>
  <si>
    <t>Fire Master Wrap</t>
  </si>
  <si>
    <t>LAG</t>
  </si>
  <si>
    <t>Sound Lagging B10 or B20</t>
  </si>
  <si>
    <t>PT1</t>
  </si>
  <si>
    <t>1.5" Pipe and Tank</t>
  </si>
  <si>
    <t>PT2</t>
  </si>
  <si>
    <t>2" Pipe and Tank</t>
  </si>
  <si>
    <t>RAA</t>
  </si>
  <si>
    <t>Rubber sheet Armaflex</t>
  </si>
  <si>
    <t>HYDRONIC Sell Price ----&gt;</t>
  </si>
  <si>
    <t>HVAC Qnt</t>
  </si>
  <si>
    <t>HVAC Code</t>
  </si>
  <si>
    <t>Price By system</t>
  </si>
  <si>
    <t>HVAC SYSTEM</t>
  </si>
  <si>
    <t>HVAC Unit</t>
  </si>
  <si>
    <t>HVAC System Name</t>
  </si>
  <si>
    <t>HVAC System Name NO Release</t>
  </si>
  <si>
    <t>HVAC System Name Release qnt</t>
  </si>
  <si>
    <t>Plumbing Price ----&gt;</t>
  </si>
  <si>
    <t>PLUMB Qnt</t>
  </si>
  <si>
    <t>PLUMB Code</t>
  </si>
  <si>
    <t>PLUMB SYSTEM</t>
  </si>
  <si>
    <t>PLUMB Unit</t>
  </si>
  <si>
    <t>PLUMB System Name</t>
  </si>
  <si>
    <t>PLUMB System Name NO Release</t>
  </si>
  <si>
    <t>PLUMB System Name Release qnt</t>
  </si>
  <si>
    <t>DUCT Sell Price ----&gt;</t>
  </si>
  <si>
    <t>DUCT Qnt</t>
  </si>
  <si>
    <t>DUCT Code</t>
  </si>
  <si>
    <t>DUCT SYSTEM</t>
  </si>
  <si>
    <t>DUCT Unit</t>
  </si>
  <si>
    <t>DUCT System Name</t>
  </si>
  <si>
    <t>DUCT System Name NO Release</t>
  </si>
  <si>
    <t>DUCT System Name Release qnt</t>
  </si>
  <si>
    <t>EQUIPMENT Sell Price ----&gt;</t>
  </si>
  <si>
    <t>EQUIPMENT Qnt</t>
  </si>
  <si>
    <t>EQUIPMENT Code</t>
  </si>
  <si>
    <t>EQU Price By system</t>
  </si>
  <si>
    <t>EQUIPMENT SYSTEM</t>
  </si>
  <si>
    <t>EQUIPMENT Unit</t>
  </si>
  <si>
    <t>EQUIPMENT System Name</t>
  </si>
  <si>
    <t>EQU System Name NO Release</t>
  </si>
  <si>
    <t>EQU System Name Release qnt</t>
  </si>
  <si>
    <t>General cost</t>
  </si>
  <si>
    <t>EA</t>
  </si>
  <si>
    <t>Expansion Tank</t>
  </si>
  <si>
    <t>EA HEAD</t>
  </si>
  <si>
    <t>Chiller Head</t>
  </si>
  <si>
    <t>Pumps</t>
  </si>
  <si>
    <t>EA UNIT</t>
  </si>
  <si>
    <t>Chilled Beams</t>
  </si>
  <si>
    <t>Chiller</t>
  </si>
  <si>
    <t>Air Separators</t>
  </si>
  <si>
    <t>Boilers</t>
  </si>
  <si>
    <t>Heat Exchanger</t>
  </si>
  <si>
    <t>Fan Coil Units</t>
  </si>
  <si>
    <t>Buffer Tank</t>
  </si>
  <si>
    <t>VRF Piping</t>
  </si>
  <si>
    <t>Number of Cassettes</t>
  </si>
  <si>
    <t>Our Guessitmate (LF per Cassette)</t>
  </si>
  <si>
    <t>Was piping shown on drawings, given to us by mechanical or estimated by cassette?</t>
  </si>
  <si>
    <t>Guestimate by Cassette</t>
  </si>
  <si>
    <t>What percentage receives PVC Exterior or metal Jacketing?</t>
  </si>
  <si>
    <t>Is Liquid Suction to be insulated</t>
  </si>
  <si>
    <t>VRF Liquid Suction IS to be insulated per spec and not included</t>
  </si>
  <si>
    <t>Cost per LF without PVC (Labor &amp; Material)</t>
  </si>
  <si>
    <t>Total LF of VRF</t>
  </si>
  <si>
    <t>Cost per LF with PVC (Labor &amp; Material)</t>
  </si>
  <si>
    <t>Number of LF - No PVC</t>
  </si>
  <si>
    <t>Number of LF - With PVC</t>
  </si>
  <si>
    <t>Brand of System</t>
  </si>
  <si>
    <t>Diaken</t>
  </si>
  <si>
    <t>3/4" Thickness  - Elastomeric</t>
  </si>
  <si>
    <t>INSULATION PROPOSAL BREAKDOWN SHEET</t>
  </si>
  <si>
    <t>Prepared for:</t>
  </si>
  <si>
    <t>From:</t>
  </si>
  <si>
    <t>Project:</t>
  </si>
  <si>
    <t>- Insulation Scope: Thermal insulation of New Systems as listed attached.</t>
  </si>
  <si>
    <t>- All insulation will be installed per manufactures recommendations.</t>
  </si>
  <si>
    <t>- Note: No existing piping and ductwork/plenums is included.  Our pricing is contingent upon</t>
  </si>
  <si>
    <t>work being released with enough time to complete before walls and ceilings are closed up</t>
  </si>
  <si>
    <t>Ladders Last - 5%</t>
  </si>
  <si>
    <t>Ductwork (Mechanical Insulation):</t>
  </si>
  <si>
    <t>Supply Air, Return Air, Exhaust in unconditioned areas, Outside a</t>
  </si>
  <si>
    <t>HVAC Piping  (Mechanical Insulation):</t>
  </si>
  <si>
    <t>Plumbing  (Mechanical Insulation):</t>
  </si>
  <si>
    <t>Domestic Cold Water, Domestic Hot Water, Storm Water</t>
  </si>
  <si>
    <t>Equipment (Mechanical Insulation):</t>
  </si>
  <si>
    <t>Chilled Water Pumps, Condensor Water Pumps, Hydropneumatic Tank,</t>
  </si>
  <si>
    <t>INCLUDED IN BID PRICE - BREAKOUT</t>
  </si>
  <si>
    <t>#</t>
  </si>
  <si>
    <t>Scope</t>
  </si>
  <si>
    <t>Price per Unit</t>
  </si>
  <si>
    <t>Shield</t>
  </si>
  <si>
    <t>ea</t>
  </si>
  <si>
    <t>VE 645</t>
  </si>
  <si>
    <t>LS</t>
  </si>
  <si>
    <t>BID PRICE TOTAL</t>
  </si>
  <si>
    <t>EXCLUDED OPTIONS/ALTERNATES - NOT IN BID PRICE</t>
  </si>
  <si>
    <t>Add to Total</t>
  </si>
  <si>
    <t>SPECIAL NOTES</t>
  </si>
  <si>
    <t>- Pricing is for new Duct and Pipe as well as tie in points only.</t>
  </si>
  <si>
    <t>PRICING CONFIDENTIALITY</t>
  </si>
  <si>
    <t>EXCEPTION</t>
  </si>
  <si>
    <t>INCLUDED</t>
  </si>
  <si>
    <t>NOT INCLUDED</t>
  </si>
  <si>
    <t>Sound/Acoustical Lagging</t>
  </si>
  <si>
    <t>X</t>
  </si>
  <si>
    <t>Fire rated Enclosures</t>
  </si>
  <si>
    <t>Blank of Panels</t>
  </si>
  <si>
    <t>Victaulic Fittings</t>
  </si>
  <si>
    <t>Underground Piping</t>
  </si>
  <si>
    <t>Pre-insulated Pipe Supports</t>
  </si>
  <si>
    <t>ADA Compliant Undersink protection</t>
  </si>
  <si>
    <t>180 degree Calsil / Foamglass inserts</t>
  </si>
  <si>
    <t>Saddles &amp; Shields</t>
  </si>
  <si>
    <t>Heat Tracing</t>
  </si>
  <si>
    <t>Fire Stopping</t>
  </si>
  <si>
    <t>Color Coding</t>
  </si>
  <si>
    <t>Labeling of Pipe of Duct</t>
  </si>
  <si>
    <t>Lined Ductwork</t>
  </si>
  <si>
    <t>Insulation of Existing Duct</t>
  </si>
  <si>
    <t>Flexible duct</t>
  </si>
  <si>
    <t>Insulation of Existing Pipe</t>
  </si>
  <si>
    <t>Pipe prepping or coating</t>
  </si>
  <si>
    <t>Pipe or Duct Painting</t>
  </si>
  <si>
    <t>Pipe of Duct cleaning prior to installation of insulation</t>
  </si>
  <si>
    <t>Chiller Insulation</t>
  </si>
  <si>
    <t>Overtime / Shift Work</t>
  </si>
  <si>
    <t>Pipe, Equipment, and Duct required for mock-ups is by others</t>
  </si>
  <si>
    <t>Insulation Demo or Removal</t>
  </si>
  <si>
    <t>Thermal Imaging of Insulation</t>
  </si>
  <si>
    <t>Composite Cleanup</t>
  </si>
  <si>
    <t>Damage to insulation by others</t>
  </si>
  <si>
    <t>Wood block for pipe supports</t>
  </si>
  <si>
    <t>Third Party Testing</t>
  </si>
  <si>
    <t>Bonds</t>
  </si>
  <si>
    <t>VRF Piping Insulation</t>
  </si>
  <si>
    <t>Paintability of the insulation jacketing:</t>
  </si>
  <si>
    <t>For specifications that state "jacketing shall be paintable"</t>
  </si>
  <si>
    <t>for pipe or duct or similar on all FSK, ASJ, and PSK jacketing</t>
  </si>
  <si>
    <t>the jacketing is paintable - however the insulation</t>
  </si>
  <si>
    <t>manufacturer's will not provide a UL Smoke and Flame rating</t>
  </si>
  <si>
    <t>warranty for the painted product. The responsibility would be</t>
  </si>
  <si>
    <t>on the painter and as there are fire and smoke. If it must be</t>
  </si>
  <si>
    <t>painted manufacturer will warranty insulation but will not</t>
  </si>
  <si>
    <t>warranty the jacket.</t>
  </si>
  <si>
    <t>"Ladders Last" - If to be added add 4% to the price</t>
  </si>
  <si>
    <t>VRF Pricing</t>
  </si>
  <si>
    <t>Percentages</t>
  </si>
  <si>
    <t>VRF List</t>
  </si>
  <si>
    <t>VRF Method of determining scope</t>
  </si>
  <si>
    <t>VRF_Manufacturers</t>
  </si>
  <si>
    <t>Project Start In No Months</t>
  </si>
  <si>
    <t>Project Duration</t>
  </si>
  <si>
    <t>List</t>
  </si>
  <si>
    <t>List of Companies</t>
  </si>
  <si>
    <t>Bidding Company</t>
  </si>
  <si>
    <t>AS of</t>
  </si>
  <si>
    <t>VRF Thickness</t>
  </si>
  <si>
    <t>Base Rate - no adjustments (non scale)</t>
  </si>
  <si>
    <t>VRF Covered</t>
  </si>
  <si>
    <t>Base Rate Total</t>
  </si>
  <si>
    <t>Rate
State</t>
  </si>
  <si>
    <t>PFL</t>
  </si>
  <si>
    <t>WC Insulation</t>
  </si>
  <si>
    <t>SSN 
Rate</t>
  </si>
  <si>
    <t>Medicare 
Rate</t>
  </si>
  <si>
    <t>FUTA 
Rate</t>
  </si>
  <si>
    <t>SUTA 
DCB 
Rate</t>
  </si>
  <si>
    <t>SUTA
GOEL DC 
Rate</t>
  </si>
  <si>
    <t>SUTA
GOEL
Rate</t>
  </si>
  <si>
    <t>SUTA 
CAP</t>
  </si>
  <si>
    <t>WC Plumber</t>
  </si>
  <si>
    <t>SUTA 
Rate</t>
  </si>
  <si>
    <t>Sales Tax by state</t>
  </si>
  <si>
    <t>Preference</t>
  </si>
  <si>
    <t>Type Of Building</t>
  </si>
  <si>
    <t>VRF Liquid Suction is NOT to be insulated per spec and not included</t>
  </si>
  <si>
    <t>Given by mechanical (Customer Quantities)</t>
  </si>
  <si>
    <t>Blue Star</t>
  </si>
  <si>
    <t>Fast Renovation</t>
  </si>
  <si>
    <t>Base Rate Wage</t>
  </si>
  <si>
    <t>Estimated by piping diagrams</t>
  </si>
  <si>
    <t>Carrier</t>
  </si>
  <si>
    <t>Slow Renovation</t>
  </si>
  <si>
    <t>VA</t>
  </si>
  <si>
    <t>MDOT SDB</t>
  </si>
  <si>
    <t>Airport Building</t>
  </si>
  <si>
    <t>3/4" Thickness  - Fiberglass</t>
  </si>
  <si>
    <t>Estimated by Drawings</t>
  </si>
  <si>
    <t>Chigo</t>
  </si>
  <si>
    <t>New Construction with deep shoring - large</t>
  </si>
  <si>
    <t>CBE</t>
  </si>
  <si>
    <t>Airport Hangar</t>
  </si>
  <si>
    <t>3/4" Thickness  - Foam Glass</t>
  </si>
  <si>
    <t>Excluded</t>
  </si>
  <si>
    <t>New Construction with limited excavation - large</t>
  </si>
  <si>
    <t>Prince George's CBB</t>
  </si>
  <si>
    <t>Data Center</t>
  </si>
  <si>
    <t>1" Thickness  - Elastomeric</t>
  </si>
  <si>
    <t>Electrolux</t>
  </si>
  <si>
    <t>PA</t>
  </si>
  <si>
    <t>Federal SDB</t>
  </si>
  <si>
    <t>Data Center - Federal</t>
  </si>
  <si>
    <t>1" Thickness  - Fiberglass</t>
  </si>
  <si>
    <t>Emerson Electric</t>
  </si>
  <si>
    <t>New Construction with limited excavation small</t>
  </si>
  <si>
    <t>DE</t>
  </si>
  <si>
    <t>Baltimore MWBOO</t>
  </si>
  <si>
    <t>Educational - College</t>
  </si>
  <si>
    <t>1" Thickness  - Foam Glass</t>
  </si>
  <si>
    <t>Fijitsu</t>
  </si>
  <si>
    <t>Immediate Start</t>
  </si>
  <si>
    <t>NJ</t>
  </si>
  <si>
    <t>Virginia SWAM</t>
  </si>
  <si>
    <t>Educational - Elementary School</t>
  </si>
  <si>
    <t>1 1/2" Thickness  - Elastomeric</t>
  </si>
  <si>
    <t>Gree Electric Appliances</t>
  </si>
  <si>
    <t>Multi Phased Renovation</t>
  </si>
  <si>
    <t>Educational - High School School</t>
  </si>
  <si>
    <t>1 1/2" Thickness  - Fiberglass</t>
  </si>
  <si>
    <t>Haier</t>
  </si>
  <si>
    <t>Educational - Middle School</t>
  </si>
  <si>
    <t>1 1/2" Thickness  - Foam Glass</t>
  </si>
  <si>
    <t>HiSense</t>
  </si>
  <si>
    <t>Federal - Agency</t>
  </si>
  <si>
    <t>2" Thickness  - Elastomeric</t>
  </si>
  <si>
    <t>Hitachi</t>
  </si>
  <si>
    <t>Federal - GSA</t>
  </si>
  <si>
    <t>2" Thickness  - Fiberglass</t>
  </si>
  <si>
    <t>Ingersol Rand</t>
  </si>
  <si>
    <t>Federal - Industrial</t>
  </si>
  <si>
    <t>2" Thickness  - Foam Glass</t>
  </si>
  <si>
    <t>Johnson Controls</t>
  </si>
  <si>
    <t>Federal - Medical Research</t>
  </si>
  <si>
    <t>Lennox</t>
  </si>
  <si>
    <t>Federal - NSA/FBA/CIA</t>
  </si>
  <si>
    <t>LG</t>
  </si>
  <si>
    <t>Federal - USACE/NAVFAC</t>
  </si>
  <si>
    <t>Midea</t>
  </si>
  <si>
    <t>Hospital - John Hopkins</t>
  </si>
  <si>
    <t>Incremental for covered</t>
  </si>
  <si>
    <t>Mitsubishi Electric</t>
  </si>
  <si>
    <t>Hospital - NIH</t>
  </si>
  <si>
    <t>Incremental for wage scale</t>
  </si>
  <si>
    <t>Nortek Air Solution</t>
  </si>
  <si>
    <t>Hospital - Other Patient Hospital</t>
  </si>
  <si>
    <t>Panasonic</t>
  </si>
  <si>
    <t>Hotel Building</t>
  </si>
  <si>
    <t>Samsung</t>
  </si>
  <si>
    <t>Industrial Manufacturing Building</t>
  </si>
  <si>
    <t>Schneider Electric</t>
  </si>
  <si>
    <t>Metro Facility</t>
  </si>
  <si>
    <t>TCL</t>
  </si>
  <si>
    <t>Military</t>
  </si>
  <si>
    <t>Toshiba</t>
  </si>
  <si>
    <t>Description</t>
  </si>
  <si>
    <t>Mixed Use Development</t>
  </si>
  <si>
    <t>Trane</t>
  </si>
  <si>
    <t>Masonry NOC</t>
  </si>
  <si>
    <t>Museum</t>
  </si>
  <si>
    <t>Voltas</t>
  </si>
  <si>
    <t>Plumbing NOC &amp; Drivers</t>
  </si>
  <si>
    <t>Office Building - County</t>
  </si>
  <si>
    <t>Whirlpool</t>
  </si>
  <si>
    <t>Electrical Wiring (Within Bldgs)</t>
  </si>
  <si>
    <t>—</t>
  </si>
  <si>
    <t>Office Building - Federal</t>
  </si>
  <si>
    <t>York</t>
  </si>
  <si>
    <t>Concrete or Cement Work</t>
  </si>
  <si>
    <t>Office Building - Medical</t>
  </si>
  <si>
    <t>Carpentry NOC</t>
  </si>
  <si>
    <t>Office Building - Military</t>
  </si>
  <si>
    <t>Asbestos Removal</t>
  </si>
  <si>
    <t>Office Building - Private</t>
  </si>
  <si>
    <t>Asbestos Removal NOC</t>
  </si>
  <si>
    <t>Office Building - State</t>
  </si>
  <si>
    <t>Painting NOC</t>
  </si>
  <si>
    <t>Power Plant</t>
  </si>
  <si>
    <t>Floor Covering</t>
  </si>
  <si>
    <t>Prison</t>
  </si>
  <si>
    <t>Insulation NOC</t>
  </si>
  <si>
    <t>Public</t>
  </si>
  <si>
    <t>Contractor Executive Sup</t>
  </si>
  <si>
    <t>Recreational/Community Center</t>
  </si>
  <si>
    <t>Cleaner – Debris</t>
  </si>
  <si>
    <t>Warehouse</t>
  </si>
  <si>
    <t>Excavation</t>
  </si>
  <si>
    <t>Wastewater Treatement Plant</t>
  </si>
  <si>
    <t>Construction Yard</t>
  </si>
  <si>
    <t>Sales</t>
  </si>
  <si>
    <t>Clerical</t>
  </si>
  <si>
    <t>Garbage / Refuse</t>
  </si>
  <si>
    <t>Company ID</t>
  </si>
  <si>
    <t>Company Type</t>
  </si>
  <si>
    <t>Contact</t>
  </si>
  <si>
    <t>City</t>
  </si>
  <si>
    <t>State</t>
  </si>
  <si>
    <t>Zip</t>
  </si>
  <si>
    <t>Pipeline</t>
  </si>
  <si>
    <t>Company Status</t>
  </si>
  <si>
    <t>Closing Ratio</t>
  </si>
  <si>
    <t>Location of Bid List (Website)</t>
  </si>
  <si>
    <t>Country</t>
  </si>
  <si>
    <t>What system do they send bid invites from?</t>
  </si>
  <si>
    <t>If they email invites (Goel) - What email do they send bid invites to?</t>
  </si>
  <si>
    <t>User Name (bid invites) - Goel</t>
  </si>
  <si>
    <t>Password for Bid List - Goel</t>
  </si>
  <si>
    <t>Do we bid to them?</t>
  </si>
  <si>
    <t>Do we release breakouts to them?</t>
  </si>
  <si>
    <t>What amount do we bid to them?</t>
  </si>
  <si>
    <t>Do we only bid piping to them?</t>
  </si>
  <si>
    <t>Do we only bid ductwork to them?</t>
  </si>
  <si>
    <t>Do we make them call for pricing as we get no feedback?</t>
  </si>
  <si>
    <t>If they email invites (DCB) - What email do they send bid invites to?</t>
  </si>
  <si>
    <t>If they email invites (Goel DC) - What email do they send bid invites to?</t>
  </si>
  <si>
    <t>User Name (bid invites) - DCB</t>
  </si>
  <si>
    <t>Password for Bid List - DCB</t>
  </si>
  <si>
    <t>User Name (bid invites) - Goel DC</t>
  </si>
  <si>
    <t>Password for Bid List - Goel DC</t>
  </si>
  <si>
    <t>Do we bid both piping and duct to them?</t>
  </si>
  <si>
    <t>Are they part of an AFL-CIO Affiliated Union?</t>
  </si>
  <si>
    <t>What percentage of their insulation work do we get?</t>
  </si>
  <si>
    <t>Who is responsible to update this record?</t>
  </si>
  <si>
    <t>When was this record updated?</t>
  </si>
  <si>
    <t>Which Captain is responsible to market this client?</t>
  </si>
  <si>
    <t>Check Weekly?</t>
  </si>
  <si>
    <t>Child Companies</t>
  </si>
  <si>
    <t>Mechanical Cont</t>
  </si>
  <si>
    <t>A.G. PRADA COMPANY INC.</t>
  </si>
  <si>
    <t>(301) 419-2594</t>
  </si>
  <si>
    <t>Pat Prada</t>
  </si>
  <si>
    <t>hvac@agprada.com</t>
  </si>
  <si>
    <t>(301) 470-4251</t>
  </si>
  <si>
    <t>12122 Conway Rd</t>
  </si>
  <si>
    <t>Beltsville</t>
  </si>
  <si>
    <t>$0.00</t>
  </si>
  <si>
    <t>0%</t>
  </si>
  <si>
    <t>Yes - Local 602 - Steamfitters</t>
  </si>
  <si>
    <t>A.i.r Llc Advanced Indoor Resources</t>
  </si>
  <si>
    <t>Martin Knott</t>
  </si>
  <si>
    <t>mknottjr@theairllc.com</t>
  </si>
  <si>
    <t>2801 Sisson Street</t>
  </si>
  <si>
    <t>Baltimore</t>
  </si>
  <si>
    <t>A.I.R. CONDITIONING SERVICES LLC</t>
  </si>
  <si>
    <t>(301) 789-8952</t>
  </si>
  <si>
    <t>Jason Hardesty</t>
  </si>
  <si>
    <t>aircondserv@yahoo.com</t>
  </si>
  <si>
    <t>8610 Kip Dr</t>
  </si>
  <si>
    <t>Owings</t>
  </si>
  <si>
    <t>A.L. Merton (Adrian L. Merton Inc.)</t>
  </si>
  <si>
    <t>(301) 336-2700</t>
  </si>
  <si>
    <t>Michael Merton</t>
  </si>
  <si>
    <t>mickey@almerton.com</t>
  </si>
  <si>
    <t>(301) 336-6077</t>
  </si>
  <si>
    <t>9011 E. Hampton Dr., P.o. Box 3570</t>
  </si>
  <si>
    <t>Capitol Heights</t>
  </si>
  <si>
    <t>$2,717,130.00</t>
  </si>
  <si>
    <t>100%</t>
  </si>
  <si>
    <t>Giselis Rodulfo</t>
  </si>
  <si>
    <t>1/2/2024</t>
  </si>
  <si>
    <t>A&amp;e Heating And Air Cond Llc</t>
  </si>
  <si>
    <t>Andre Marr</t>
  </si>
  <si>
    <t>aandeheatingandair@gmail.com</t>
  </si>
  <si>
    <t>513 11th Street Southeast</t>
  </si>
  <si>
    <t>Washington</t>
  </si>
  <si>
    <t>A&amp;e Plumbing, Inc.</t>
  </si>
  <si>
    <t>Vickie Loza - Cruz</t>
  </si>
  <si>
    <t>vickie@aeplumbing1.com</t>
  </si>
  <si>
    <t>7069 Gateway Court</t>
  </si>
  <si>
    <t>Manassas</t>
  </si>
  <si>
    <t>Abbott Mechanical Services, Llc</t>
  </si>
  <si>
    <t>(419) 460-4315</t>
  </si>
  <si>
    <t>1/2/24</t>
  </si>
  <si>
    <t>Abc General &amp; Mechanical Services, Inc.</t>
  </si>
  <si>
    <t>(301) 921-4461</t>
  </si>
  <si>
    <t>Vijay Paul</t>
  </si>
  <si>
    <t>vijay@abcgeneralandmechanical.com</t>
  </si>
  <si>
    <t>15732 Crabbs Branch Way</t>
  </si>
  <si>
    <t>Derwood</t>
  </si>
  <si>
    <t>$1,126,900.00</t>
  </si>
  <si>
    <t>Abm</t>
  </si>
  <si>
    <t>703-370-5850</t>
  </si>
  <si>
    <t>Joseph Stein</t>
  </si>
  <si>
    <t>joseph.stein@abm.com</t>
  </si>
  <si>
    <t>5701 General Washington Drive Suite J</t>
  </si>
  <si>
    <t>Lincolnia</t>
  </si>
  <si>
    <t>Acme Mechanical Contractors Of Virginia, Inc.</t>
  </si>
  <si>
    <t>(703) 335-2677</t>
  </si>
  <si>
    <t>Bid Room</t>
  </si>
  <si>
    <t>quotes@acmemechanical.com</t>
  </si>
  <si>
    <t>8584 Virginia Meadows</t>
  </si>
  <si>
    <t>$2,598,040.00</t>
  </si>
  <si>
    <t>Advanced Heating And Cooling, Llc</t>
  </si>
  <si>
    <t>(410) 833-9445</t>
  </si>
  <si>
    <t>Estimating Department</t>
  </si>
  <si>
    <t>bpemberton@advancedhc.com</t>
  </si>
  <si>
    <t>212 Business Center Dr</t>
  </si>
  <si>
    <t>Reisterstown</t>
  </si>
  <si>
    <t>$744,900.00</t>
  </si>
  <si>
    <t>Aegis Mechanical Corporation</t>
  </si>
  <si>
    <t>(443) 436-6001</t>
  </si>
  <si>
    <t>Barnett Carroll</t>
  </si>
  <si>
    <t>barnettc@aegismech.com</t>
  </si>
  <si>
    <t>2034 Lord Baltimore Drive</t>
  </si>
  <si>
    <t>Woodlawn</t>
  </si>
  <si>
    <t>$537,050.00</t>
  </si>
  <si>
    <t>Aim Mechanical (In - House Insulation)</t>
  </si>
  <si>
    <t>Contact Needed 1</t>
  </si>
  <si>
    <t>23475 Rock Haven Way</t>
  </si>
  <si>
    <t>Sterling</t>
  </si>
  <si>
    <t>$121,800.00</t>
  </si>
  <si>
    <t>Air Mover, Inc.</t>
  </si>
  <si>
    <t>703.451.1292</t>
  </si>
  <si>
    <t>7721 Fullerton Road</t>
  </si>
  <si>
    <t>Springfield</t>
  </si>
  <si>
    <t>$22,000.00</t>
  </si>
  <si>
    <t>Al's Twin Air Llc</t>
  </si>
  <si>
    <t>202-388-8888</t>
  </si>
  <si>
    <t>Stephanie Jordan Venson</t>
  </si>
  <si>
    <t>sjvenson@ataservices1.com</t>
  </si>
  <si>
    <t>1914 Benning Road Northeast</t>
  </si>
  <si>
    <t>ALEUT MANAGEMENT SERVICES, LLC</t>
  </si>
  <si>
    <t>(719) 262-7177</t>
  </si>
  <si>
    <t>Damian J. Guerin</t>
  </si>
  <si>
    <t>Damian.Guerin@Aleutmgt.com</t>
  </si>
  <si>
    <t>5540 Tech Center Dr suite 100</t>
  </si>
  <si>
    <t>Colorado Springs</t>
  </si>
  <si>
    <t>CO</t>
  </si>
  <si>
    <t>Aleut O&amp;m Services</t>
  </si>
  <si>
    <t>12355 Sunrise Valley Drive; Suite 300j</t>
  </si>
  <si>
    <t>Reston</t>
  </si>
  <si>
    <t>American Combustion Industries, Inc. (ACI)</t>
  </si>
  <si>
    <t>(301) 779-3400</t>
  </si>
  <si>
    <t>David Grimard</t>
  </si>
  <si>
    <t>dgrimard@aciindustries.com</t>
  </si>
  <si>
    <t>7100 Holladay Tyler Road, Suite 233</t>
  </si>
  <si>
    <t>Glenn Dale</t>
  </si>
  <si>
    <t>$2,363,600.00</t>
  </si>
  <si>
    <t>American Mechanical Services Of Maryland, Llc (AMS)</t>
  </si>
  <si>
    <t>301-206-5070</t>
  </si>
  <si>
    <t>Wondell Hayton</t>
  </si>
  <si>
    <t>whayton@amsofusa.com</t>
  </si>
  <si>
    <t>13300 Mid Atlantic Boulevard</t>
  </si>
  <si>
    <t>Laurel</t>
  </si>
  <si>
    <t>$73,000.00</t>
  </si>
  <si>
    <t>Ams Contractors, Inc.</t>
  </si>
  <si>
    <t>Michael Stepp</t>
  </si>
  <si>
    <t>mstepp@amsconstractors.com</t>
  </si>
  <si>
    <t>7211 Telegraph Square Drive</t>
  </si>
  <si>
    <t>Lorton</t>
  </si>
  <si>
    <t>$885,000.00</t>
  </si>
  <si>
    <t>Anchor Mechanical</t>
  </si>
  <si>
    <t>Tony Schaffer</t>
  </si>
  <si>
    <t>tschaffer@anchormech.com</t>
  </si>
  <si>
    <t>126 Industry Lane #4</t>
  </si>
  <si>
    <t>Forest Hill</t>
  </si>
  <si>
    <t>$8,581,270.00</t>
  </si>
  <si>
    <t>Anderson Mechanical Company</t>
  </si>
  <si>
    <t>Samuel Owens</t>
  </si>
  <si>
    <t>sowens@amsihvac.com</t>
  </si>
  <si>
    <t>$1,852,599,620.00</t>
  </si>
  <si>
    <t>Ariosa &amp; Company Llc</t>
  </si>
  <si>
    <t>Fran Leppert</t>
  </si>
  <si>
    <t>estimating@ariosaco.net</t>
  </si>
  <si>
    <t>16 Stenersen Lane, Suite 3a</t>
  </si>
  <si>
    <t>Hunt Valley</t>
  </si>
  <si>
    <t>$7,832,607.40</t>
  </si>
  <si>
    <t>Ark Construction Group</t>
  </si>
  <si>
    <t>Randy Perillo, Jr.</t>
  </si>
  <si>
    <t>rperillo@arkdc.com</t>
  </si>
  <si>
    <t>700 K Street Northwest</t>
  </si>
  <si>
    <t>Arriba Mechanical</t>
  </si>
  <si>
    <t>3210 Echodale Avenue</t>
  </si>
  <si>
    <t>Artic Innovation Systems Llc</t>
  </si>
  <si>
    <t>(240) 970-7135</t>
  </si>
  <si>
    <t>Rebeca</t>
  </si>
  <si>
    <t>rebeca@arcticinnovationsystems.com</t>
  </si>
  <si>
    <t>317 Soapstone Ln</t>
  </si>
  <si>
    <t>Silver Spring</t>
  </si>
  <si>
    <t>Atlantic Constructions (ACI)</t>
  </si>
  <si>
    <t>Xx - Chris Mayes</t>
  </si>
  <si>
    <t>chris.mayes@atlanticpiping.com</t>
  </si>
  <si>
    <t>23430 Rockhaven Way, Suite 170</t>
  </si>
  <si>
    <t>$2,572,150.00</t>
  </si>
  <si>
    <t>Atlantic Industrial Mechanical Electrical (AIME)</t>
  </si>
  <si>
    <t>(410) 355-1869</t>
  </si>
  <si>
    <t>Gary Czajkowski</t>
  </si>
  <si>
    <t>gczajkowski@jwfi.com</t>
  </si>
  <si>
    <t>5730 Pennington Avenue</t>
  </si>
  <si>
    <t>Awa Mechanical, Inc.</t>
  </si>
  <si>
    <t>Mark Barksdale</t>
  </si>
  <si>
    <t>mechplumsys@aol.com</t>
  </si>
  <si>
    <t>1445 Rolling Road</t>
  </si>
  <si>
    <t>Catonsville</t>
  </si>
  <si>
    <t>Baldwin Mechanical</t>
  </si>
  <si>
    <t>Brian Smyth</t>
  </si>
  <si>
    <t>brian@baldwinmech.com</t>
  </si>
  <si>
    <t>8116 Philadelphia Road</t>
  </si>
  <si>
    <t>Rosedale</t>
  </si>
  <si>
    <t>$3,689,107.40</t>
  </si>
  <si>
    <t>Baluch Brothers</t>
  </si>
  <si>
    <t>540-434-2589</t>
  </si>
  <si>
    <t>David Flick</t>
  </si>
  <si>
    <t>dflick@blauchbrothers.com</t>
  </si>
  <si>
    <t>911 Chicago Avenue</t>
  </si>
  <si>
    <t>Harrisonburg</t>
  </si>
  <si>
    <t>Bauer Mechanical Llc</t>
  </si>
  <si>
    <t>Joseph Sheldon</t>
  </si>
  <si>
    <t>jsheldon@bauermech.com</t>
  </si>
  <si>
    <t>2109 Maisel Street</t>
  </si>
  <si>
    <t>$1,986,850.00</t>
  </si>
  <si>
    <t>Beaver Mechanical Contractors, Inc.</t>
  </si>
  <si>
    <t>(301) 790-1400</t>
  </si>
  <si>
    <t>61 W Lee St</t>
  </si>
  <si>
    <t>Hagerstown</t>
  </si>
  <si>
    <t>Bel Air Mechanical</t>
  </si>
  <si>
    <t>Ryan O'malley</t>
  </si>
  <si>
    <t>ryan@bamechanicalllc.com</t>
  </si>
  <si>
    <t>4220 Shannon Drive</t>
  </si>
  <si>
    <t>Bernward Mechanical And Construction Solutions</t>
  </si>
  <si>
    <t>(410) 975-5576</t>
  </si>
  <si>
    <t>Craig Walker</t>
  </si>
  <si>
    <t>cwalker@bernwards.com</t>
  </si>
  <si>
    <t>836 Ritchie Hwy Suite 1</t>
  </si>
  <si>
    <t>Severna Park</t>
  </si>
  <si>
    <t>$7,825,520.00</t>
  </si>
  <si>
    <t>Bilman Company, Inc.</t>
  </si>
  <si>
    <t>Estimating Dept</t>
  </si>
  <si>
    <t>bids@bilmin.com</t>
  </si>
  <si>
    <t>7411 Lindbergh Drive; Suite A</t>
  </si>
  <si>
    <t>Gaithersburg</t>
  </si>
  <si>
    <t>$687,750.00</t>
  </si>
  <si>
    <t>Bion Mechanical, Inc.</t>
  </si>
  <si>
    <t>Jerome Sweeney</t>
  </si>
  <si>
    <t>jsweeney@bionmechanical.com</t>
  </si>
  <si>
    <t>11721 Pump Station Way</t>
  </si>
  <si>
    <t>$77,000.00</t>
  </si>
  <si>
    <t>Borlie Mechanical Contracting</t>
  </si>
  <si>
    <t>(304) 260-0935</t>
  </si>
  <si>
    <t>Steve Borlie</t>
  </si>
  <si>
    <t>sborlie@borliemechanical.com</t>
  </si>
  <si>
    <t>5521 Tabler Station Road</t>
  </si>
  <si>
    <t>Inwood</t>
  </si>
  <si>
    <t>WV</t>
  </si>
  <si>
    <t>No - non union</t>
  </si>
  <si>
    <t>None so far</t>
  </si>
  <si>
    <t>BPI Mechanical Construction, Inc.</t>
  </si>
  <si>
    <t>(301) 808-3704</t>
  </si>
  <si>
    <t>Xx - Dawn Sparkey</t>
  </si>
  <si>
    <t>dawns@bpimechanical.com</t>
  </si>
  <si>
    <t>9103 Hampton Overlook</t>
  </si>
  <si>
    <t>$3,643,220.93</t>
  </si>
  <si>
    <t>10% - 1 out of 10 awards</t>
  </si>
  <si>
    <t>Bradleigh Mechanical Inc.</t>
  </si>
  <si>
    <t>(703) 834-1216</t>
  </si>
  <si>
    <t>114 Oakgrove Rd ste 106</t>
  </si>
  <si>
    <t>$97,950.00</t>
  </si>
  <si>
    <t>Branair, Inc.</t>
  </si>
  <si>
    <t>(703) 396-8330</t>
  </si>
  <si>
    <t>Alicia Dionizio</t>
  </si>
  <si>
    <t>aliciad@branair.com</t>
  </si>
  <si>
    <t>(571) 292-2399</t>
  </si>
  <si>
    <t>11900 Livingston Rd suite 157</t>
  </si>
  <si>
    <t>$398,520.00</t>
  </si>
  <si>
    <t>110%</t>
  </si>
  <si>
    <t>Breeden Companies</t>
  </si>
  <si>
    <t>(703) 631-2711</t>
  </si>
  <si>
    <t>Lee Carroll</t>
  </si>
  <si>
    <t>lcarroll3@breedencompanies.com</t>
  </si>
  <si>
    <t>8101 Flannery Court</t>
  </si>
  <si>
    <t>Brothers Mechanical Inc. (BMI)</t>
  </si>
  <si>
    <t>(703) 750-3828</t>
  </si>
  <si>
    <t>Noel Ayala</t>
  </si>
  <si>
    <t>noel@hvaccomplete.com</t>
  </si>
  <si>
    <t>8394 Terminal Road, Unit A</t>
  </si>
  <si>
    <t>$9,687,300.00</t>
  </si>
  <si>
    <t>1-2-2024</t>
  </si>
  <si>
    <t>Wilder Rodriguez Romero</t>
  </si>
  <si>
    <t>Calvert Mechanical Solutions</t>
  </si>
  <si>
    <t>(410) 323-5400</t>
  </si>
  <si>
    <t>Marck Nelson</t>
  </si>
  <si>
    <t>markn@calvertinc.com</t>
  </si>
  <si>
    <t>(410) 323-0015</t>
  </si>
  <si>
    <t>8801 Mylander Ln</t>
  </si>
  <si>
    <t>Towson</t>
  </si>
  <si>
    <t>$914,400.00</t>
  </si>
  <si>
    <t>Cambi, Inc.</t>
  </si>
  <si>
    <t>Robert Ainslie</t>
  </si>
  <si>
    <t>robert.ainslie@cambi.com</t>
  </si>
  <si>
    <t>1903 Corona Avenue</t>
  </si>
  <si>
    <t>Jasper</t>
  </si>
  <si>
    <t>AL</t>
  </si>
  <si>
    <t>Capitol Boiler Works</t>
  </si>
  <si>
    <t>(800) 296-6881</t>
  </si>
  <si>
    <t>Carlos Valdez</t>
  </si>
  <si>
    <t>cvaldez@capitolboilerworks.com</t>
  </si>
  <si>
    <t>1730 Twin Springs Road, #217</t>
  </si>
  <si>
    <t>120%</t>
  </si>
  <si>
    <t>Capitol Contractors</t>
  </si>
  <si>
    <t>(540) 720-9677</t>
  </si>
  <si>
    <t>Hannah Briscoe</t>
  </si>
  <si>
    <t>hbriscoe@capitolcontractorsinc.com</t>
  </si>
  <si>
    <t>(540) 720-9676</t>
  </si>
  <si>
    <t>225 Tyler Von Way</t>
  </si>
  <si>
    <t>Fredericksburg</t>
  </si>
  <si>
    <t>$1,062,900.00</t>
  </si>
  <si>
    <t>https://capitolcontractorsinc.com/jobs-bidding/</t>
  </si>
  <si>
    <t>Website login</t>
  </si>
  <si>
    <t>CAPPPS Mechanical</t>
  </si>
  <si>
    <t>(443) 684-7914</t>
  </si>
  <si>
    <t>Brian Capps</t>
  </si>
  <si>
    <t>bcapps@cappsmechanical.com</t>
  </si>
  <si>
    <t>(888) 600-1246</t>
  </si>
  <si>
    <t>1435 North Solomons Road</t>
  </si>
  <si>
    <t>Huntingtown</t>
  </si>
  <si>
    <t>$175,000.00</t>
  </si>
  <si>
    <t>Carey's Mechanical Llc</t>
  </si>
  <si>
    <t>(202) 714-2692</t>
  </si>
  <si>
    <t>Mo Hall</t>
  </si>
  <si>
    <t>mhall@rvcareys.com</t>
  </si>
  <si>
    <t>3220 O St NW</t>
  </si>
  <si>
    <t>$1,901,300.00</t>
  </si>
  <si>
    <t>Central Tech Services (A Fidelity Company)</t>
  </si>
  <si>
    <t>Steve Miller</t>
  </si>
  <si>
    <t>smiller@centraltechservices.com</t>
  </si>
  <si>
    <t>9592 Deereco Road</t>
  </si>
  <si>
    <t>Lutherville - Timonium</t>
  </si>
  <si>
    <t>Chambers Mechanical</t>
  </si>
  <si>
    <t>(717) 942-5977</t>
  </si>
  <si>
    <t>21132 Old York Road</t>
  </si>
  <si>
    <t>Parkton</t>
  </si>
  <si>
    <t>Chappelle Mechanical Inc.</t>
  </si>
  <si>
    <t>(732) 968-2880</t>
  </si>
  <si>
    <t>Chris Chappelle</t>
  </si>
  <si>
    <t>cmechanical@optonline.net</t>
  </si>
  <si>
    <t>105 Fleming Street</t>
  </si>
  <si>
    <t>Piscataway</t>
  </si>
  <si>
    <t>08854</t>
  </si>
  <si>
    <t>$541,425.00</t>
  </si>
  <si>
    <t>Charles A Klein &amp; Sons</t>
  </si>
  <si>
    <t>Ryan Klein</t>
  </si>
  <si>
    <t>klerya@caklein.com</t>
  </si>
  <si>
    <t>5220 Klee Mill Road South</t>
  </si>
  <si>
    <t>Sykesville</t>
  </si>
  <si>
    <t>Chilmar Corporation</t>
  </si>
  <si>
    <t>Rich Mosmiller</t>
  </si>
  <si>
    <t>rich@chilmar.com</t>
  </si>
  <si>
    <t>5724 Belair Road</t>
  </si>
  <si>
    <t>$737,900.00</t>
  </si>
  <si>
    <t>City Wide Mechanical</t>
  </si>
  <si>
    <t>Jonathan Yordy</t>
  </si>
  <si>
    <t>jyordy@cwmmd.com</t>
  </si>
  <si>
    <t>751 Claggett Road</t>
  </si>
  <si>
    <t>Sunderland</t>
  </si>
  <si>
    <t>$1,496,950.00</t>
  </si>
  <si>
    <t>Clark Civil (A Divison Of Clark Construction)</t>
  </si>
  <si>
    <t>Ari Goldstein</t>
  </si>
  <si>
    <t>ari.goldstein@clarkfoundationsllc.com</t>
  </si>
  <si>
    <t>7500 Old Georgetown Road</t>
  </si>
  <si>
    <t>Bethesda</t>
  </si>
  <si>
    <t>$1,533,050.00</t>
  </si>
  <si>
    <t>Clark Water (a Division Of Clark Construction Group, Llc)</t>
  </si>
  <si>
    <t>Charles Cima</t>
  </si>
  <si>
    <t>charles.cima@clarkfoundationsllc.com</t>
  </si>
  <si>
    <t>7500 Old Georgetown Road 2nd Floor</t>
  </si>
  <si>
    <t>Classic Air Conditioning &amp; Heating</t>
  </si>
  <si>
    <t>$162,300.00</t>
  </si>
  <si>
    <t>Classic Heating &amp; Cooling</t>
  </si>
  <si>
    <t>+1 586-752-2665</t>
  </si>
  <si>
    <t>Climate Care Hvac Services</t>
  </si>
  <si>
    <t>Steve Smollon</t>
  </si>
  <si>
    <t>steve@climatecareservices.com</t>
  </si>
  <si>
    <t>2129 Baldwin Avenue; Suite 9</t>
  </si>
  <si>
    <t>Crofton</t>
  </si>
  <si>
    <t>$415,700.00</t>
  </si>
  <si>
    <t>Cm Heating &amp; Cooling Mechanical S.</t>
  </si>
  <si>
    <t>(301) 390-5558</t>
  </si>
  <si>
    <t>5308 Sunnyside Avenue</t>
  </si>
  <si>
    <t>Cmes Mechanical &amp; Electrical Solutions</t>
  </si>
  <si>
    <t>240-499-7640</t>
  </si>
  <si>
    <t>Ricky Mellot</t>
  </si>
  <si>
    <t>rmellott@cmest.com</t>
  </si>
  <si>
    <t>4640 Wedgewood Boulevard</t>
  </si>
  <si>
    <t>Frederick</t>
  </si>
  <si>
    <t>$13,300.00</t>
  </si>
  <si>
    <t>Colonialwebb Contractors Company - Baltimore, Md</t>
  </si>
  <si>
    <t>150 Blades Lane; Suite F</t>
  </si>
  <si>
    <t>Glen Burnie</t>
  </si>
  <si>
    <t>Colonialwebb Contractors Company - Chantilly, Va</t>
  </si>
  <si>
    <t>14221 - B Willard Road</t>
  </si>
  <si>
    <t>Chantilly</t>
  </si>
  <si>
    <t>Colonialwebb Contractors Company - Hq</t>
  </si>
  <si>
    <t>2820 Ackley Ave</t>
  </si>
  <si>
    <t>Henrico</t>
  </si>
  <si>
    <t>Comfort Systems Usa</t>
  </si>
  <si>
    <t>Daniel Barnhill</t>
  </si>
  <si>
    <t>Daniel.barnhill@comfortsystemsusa.com</t>
  </si>
  <si>
    <t>675 Bering Drive; Suite 400</t>
  </si>
  <si>
    <t>Houston</t>
  </si>
  <si>
    <t>TX</t>
  </si>
  <si>
    <t>$13,100.00</t>
  </si>
  <si>
    <t>Complete Building Services, Inc.</t>
  </si>
  <si>
    <t>Ben Vanderhoof</t>
  </si>
  <si>
    <t>benv@donohoe.com</t>
  </si>
  <si>
    <t>5100 Wisconsin Avenue Northwest; Suite 500</t>
  </si>
  <si>
    <t>Control Tech Inc</t>
  </si>
  <si>
    <t>309-692-1029</t>
  </si>
  <si>
    <t>8938 North Prairie Point</t>
  </si>
  <si>
    <t>Peoria</t>
  </si>
  <si>
    <t>IL</t>
  </si>
  <si>
    <t>$79,600.00</t>
  </si>
  <si>
    <t>Cool Breeze Hvac, Inc.</t>
  </si>
  <si>
    <t>(704) 225-3659</t>
  </si>
  <si>
    <t>Cpf Inc. (Underground Utilities)</t>
  </si>
  <si>
    <t>410-535-5210</t>
  </si>
  <si>
    <t>Michael Whitney</t>
  </si>
  <si>
    <t>mikew@cpfuinc.com</t>
  </si>
  <si>
    <t>180 Jibsail Drive</t>
  </si>
  <si>
    <t>Prince Fredrick</t>
  </si>
  <si>
    <t>Craddock Mechanical Llc</t>
  </si>
  <si>
    <t>Mechanicsville</t>
  </si>
  <si>
    <t>Crw Mechanical, Inc.</t>
  </si>
  <si>
    <t>Tom Melton</t>
  </si>
  <si>
    <t>estimating@crwmechanical.com</t>
  </si>
  <si>
    <t>5807 Ellerbie Street</t>
  </si>
  <si>
    <t>Lanham</t>
  </si>
  <si>
    <t>$261,500.00</t>
  </si>
  <si>
    <t>Cta Consulting Engineers</t>
  </si>
  <si>
    <t>(301) 762-7172</t>
  </si>
  <si>
    <t>220 North Adams Street</t>
  </si>
  <si>
    <t>Rockville</t>
  </si>
  <si>
    <t>D&amp;i Mechanical Constractors, Inc.</t>
  </si>
  <si>
    <t>(410) 795-1116</t>
  </si>
  <si>
    <t>Matt Jarosinski</t>
  </si>
  <si>
    <t>matt@dandimechanical.com</t>
  </si>
  <si>
    <t>(410) 771-1859</t>
  </si>
  <si>
    <t>10815 Beaver Dam Road</t>
  </si>
  <si>
    <t>Cockeysville</t>
  </si>
  <si>
    <t>$7,000.00</t>
  </si>
  <si>
    <t>Dc Mechanical, Llc</t>
  </si>
  <si>
    <t>571-267-7985</t>
  </si>
  <si>
    <t>Stephanie Mabra</t>
  </si>
  <si>
    <t>stephanie.mabra@dc-mech.com</t>
  </si>
  <si>
    <t>21641 Beaumeade Circle</t>
  </si>
  <si>
    <t>Ashburn</t>
  </si>
  <si>
    <t>Domco Mechanical Inc</t>
  </si>
  <si>
    <t>Estimating</t>
  </si>
  <si>
    <t>info@domcomech.com</t>
  </si>
  <si>
    <t>Doyle Systems, Llc</t>
  </si>
  <si>
    <t>Xx - Ryan Lignelli</t>
  </si>
  <si>
    <t>rlignelli@doylesystems.com</t>
  </si>
  <si>
    <t>10610 Iron Bridge Road, Suite 9</t>
  </si>
  <si>
    <t>Jessup</t>
  </si>
  <si>
    <t>$511,800.00</t>
  </si>
  <si>
    <t>DTSB Technologies - Mechanical</t>
  </si>
  <si>
    <t>Dynamic Mechanical Contractors</t>
  </si>
  <si>
    <t>Bill Lauri</t>
  </si>
  <si>
    <t>wlauri@dmc-mech.com</t>
  </si>
  <si>
    <t>11160 Veirs Mill Road; Suite Llh - 18 #240</t>
  </si>
  <si>
    <t>Wheaton - Glenmont</t>
  </si>
  <si>
    <t>$3,249,950.00</t>
  </si>
  <si>
    <t>Dynastics, Inc.</t>
  </si>
  <si>
    <t>(410) 247-6750</t>
  </si>
  <si>
    <t>Dale Gatton</t>
  </si>
  <si>
    <t>dgatton@dynastics.com</t>
  </si>
  <si>
    <t>9351 Philadelphia Rd suite j</t>
  </si>
  <si>
    <t>East Coast Heating &amp; Cooling</t>
  </si>
  <si>
    <t>443-813-0267</t>
  </si>
  <si>
    <t>Cameron Leopold</t>
  </si>
  <si>
    <t>cleopold@ecoastheatingandcooling.com</t>
  </si>
  <si>
    <t>8969 Yellow Brick Road, Ste. A</t>
  </si>
  <si>
    <t>Middle River</t>
  </si>
  <si>
    <t>Eastern Technical, Inc.</t>
  </si>
  <si>
    <t>Tim Napoli</t>
  </si>
  <si>
    <t>tnapoli@etisvs.com</t>
  </si>
  <si>
    <t>915 Middle River Road; Suite E</t>
  </si>
  <si>
    <t>Elias and Son Plumbing and HVAC</t>
  </si>
  <si>
    <t>(703) 335-0505</t>
  </si>
  <si>
    <t>8615 Quarry Rd.</t>
  </si>
  <si>
    <t>Elizabeth River Mechanical</t>
  </si>
  <si>
    <t>(757) 773-0540</t>
  </si>
  <si>
    <t>Jeff Beasley</t>
  </si>
  <si>
    <t>jbeasley@ermechanical.com</t>
  </si>
  <si>
    <t>700 Broad Street</t>
  </si>
  <si>
    <t>Portsmouth</t>
  </si>
  <si>
    <t>Ellington Mechanical Services Inc</t>
  </si>
  <si>
    <t>Rob Butler</t>
  </si>
  <si>
    <t>rbutler@ellingtonmechanical.com</t>
  </si>
  <si>
    <t>4605 Emerson Street</t>
  </si>
  <si>
    <t>Hyattsville</t>
  </si>
  <si>
    <t>$16,800.00</t>
  </si>
  <si>
    <t>Emcor Group</t>
  </si>
  <si>
    <t>(866) 890-7794</t>
  </si>
  <si>
    <t>301 Merritt 7</t>
  </si>
  <si>
    <t>Norwalk</t>
  </si>
  <si>
    <t>CT</t>
  </si>
  <si>
    <t>06851</t>
  </si>
  <si>
    <t>Emcor Services Combustioneer - Hq</t>
  </si>
  <si>
    <t>301.340.2612</t>
  </si>
  <si>
    <t>Jeff Gaddy</t>
  </si>
  <si>
    <t>jeff.gaddy@combustioneer.com</t>
  </si>
  <si>
    <t>4420 Lottsford Vista Road; Suite 1</t>
  </si>
  <si>
    <t>Emh Environmental, Inc.</t>
  </si>
  <si>
    <t>+1 410-489-9630</t>
  </si>
  <si>
    <t>Emjay Engineering &amp; Construction Co., Inc.</t>
  </si>
  <si>
    <t>(410) 298-2000</t>
  </si>
  <si>
    <t>Armando Ravera</t>
  </si>
  <si>
    <t>raveraa@emjaycons.com</t>
  </si>
  <si>
    <t>(410) 298-2430</t>
  </si>
  <si>
    <t>1706 Whitehead Road</t>
  </si>
  <si>
    <t>$1,885,597.40</t>
  </si>
  <si>
    <t>Energesco Mechanical</t>
  </si>
  <si>
    <t>+1 571-932-3590</t>
  </si>
  <si>
    <t>1000 Cameron St</t>
  </si>
  <si>
    <t>Alexandria</t>
  </si>
  <si>
    <t>$342,200.00</t>
  </si>
  <si>
    <t>Excel Mechanical Contractors, Llc</t>
  </si>
  <si>
    <t>James Bloom</t>
  </si>
  <si>
    <t>jbloom@excel-mechanical.com</t>
  </si>
  <si>
    <t>4 Nashua Court, Bay 11</t>
  </si>
  <si>
    <t>$6,796,285.00</t>
  </si>
  <si>
    <t>Exp Us Services, Inc.</t>
  </si>
  <si>
    <t>Fidelity Mechanical Services</t>
  </si>
  <si>
    <t>Mike Flurry</t>
  </si>
  <si>
    <t>mflurry@fidelity-ms.com</t>
  </si>
  <si>
    <t>25 Loveton Circle</t>
  </si>
  <si>
    <t>Sparks</t>
  </si>
  <si>
    <t>$514,010.00</t>
  </si>
  <si>
    <t>Flo-Tron Contracting Inc.</t>
  </si>
  <si>
    <t>(410) 527-0060</t>
  </si>
  <si>
    <t>10604 Beaver Dam Rd</t>
  </si>
  <si>
    <t>$42,800.00</t>
  </si>
  <si>
    <t>Freedom Mechanical</t>
  </si>
  <si>
    <t>(830) 935-4337</t>
  </si>
  <si>
    <t>Canyon Lake, Tx 78133</t>
  </si>
  <si>
    <t>Fresh Air Concepts, LLC</t>
  </si>
  <si>
    <t>(410) 789-7800</t>
  </si>
  <si>
    <t>Joeseph Haycock</t>
  </si>
  <si>
    <t>joehaycock@gmail.com</t>
  </si>
  <si>
    <t>5195 Raynor Avenue</t>
  </si>
  <si>
    <t>Linthicum Heights</t>
  </si>
  <si>
    <t>$1,403,300.00</t>
  </si>
  <si>
    <t>United States</t>
  </si>
  <si>
    <t>130%</t>
  </si>
  <si>
    <t>G.e. Tignall &amp; Co., Inc</t>
  </si>
  <si>
    <t>410-666-3000</t>
  </si>
  <si>
    <t>Mike Harper</t>
  </si>
  <si>
    <t>mharper@getignall.com</t>
  </si>
  <si>
    <t>14 Mccann Avenue</t>
  </si>
  <si>
    <t>$1,578,600.00</t>
  </si>
  <si>
    <t>G.h. Nitzel, Inc.</t>
  </si>
  <si>
    <t>Dave Wilmoth</t>
  </si>
  <si>
    <t>dave@ghnitzel.com</t>
  </si>
  <si>
    <t>11300 Pulaski Hwy</t>
  </si>
  <si>
    <t>White Marsh</t>
  </si>
  <si>
    <t>21162-1526</t>
  </si>
  <si>
    <t>$661,950.00</t>
  </si>
  <si>
    <t>Gaghan Mechanical, Inc.</t>
  </si>
  <si>
    <t>Bobby Stovall</t>
  </si>
  <si>
    <t>bobby@gaghanmech.com</t>
  </si>
  <si>
    <t>5208 Cedar Road</t>
  </si>
  <si>
    <t>$1,985,218.27</t>
  </si>
  <si>
    <t>General &amp; Mechanical Services</t>
  </si>
  <si>
    <t>+1 410-349-4070</t>
  </si>
  <si>
    <t>1007 Skidmore Dr</t>
  </si>
  <si>
    <t>Annapolis</t>
  </si>
  <si>
    <t>$8,000.00</t>
  </si>
  <si>
    <t>Global Contruction &amp; Mechanical</t>
  </si>
  <si>
    <t>8051 Cessna Avenue</t>
  </si>
  <si>
    <t>$186,000.00</t>
  </si>
  <si>
    <t>Global Hvac</t>
  </si>
  <si>
    <t>Dave Crowl</t>
  </si>
  <si>
    <t>davec@globalhvacmd.com</t>
  </si>
  <si>
    <t>5320 Enterprise Street</t>
  </si>
  <si>
    <t>Eldersburg</t>
  </si>
  <si>
    <t>$213,000.00</t>
  </si>
  <si>
    <t>Green Contracting Company, Inc.</t>
  </si>
  <si>
    <t>Chris Brooks</t>
  </si>
  <si>
    <t>cbrooks@greencontracting.com</t>
  </si>
  <si>
    <t>8837 Yellow Brick Road</t>
  </si>
  <si>
    <t>$19,600.00</t>
  </si>
  <si>
    <t>Greenfox Cooling, Heating And Plumbing</t>
  </si>
  <si>
    <t>Yaser Ali</t>
  </si>
  <si>
    <t>yaser@greenfoxservices.com</t>
  </si>
  <si>
    <t>9160 Rumsey Road; Suite B2</t>
  </si>
  <si>
    <t>Columbia</t>
  </si>
  <si>
    <t>H &amp; D Mechanical Llc</t>
  </si>
  <si>
    <t>(443) 949-9842</t>
  </si>
  <si>
    <t>Bid Contact At H&amp;d Mechanical</t>
  </si>
  <si>
    <t>bhayden@hdmechanical.net</t>
  </si>
  <si>
    <t>(443) 949-9863</t>
  </si>
  <si>
    <t>7703 Crain Hwy</t>
  </si>
  <si>
    <t>Upper Marlboro</t>
  </si>
  <si>
    <t>$284,100.00</t>
  </si>
  <si>
    <t>Hancock &amp; Son Plumbing, Heating &amp; Ac</t>
  </si>
  <si>
    <t>410-995-9815</t>
  </si>
  <si>
    <t>239 Leonard Lane</t>
  </si>
  <si>
    <t>Salisbury</t>
  </si>
  <si>
    <t>Hardesty Inc.</t>
  </si>
  <si>
    <t>estimating@hardestyinc.com</t>
  </si>
  <si>
    <t>5231 Intercoastal Drive</t>
  </si>
  <si>
    <t>Monrovia</t>
  </si>
  <si>
    <t>$118,650.00</t>
  </si>
  <si>
    <t>Harris Companies</t>
  </si>
  <si>
    <t>(301) 350-5000</t>
  </si>
  <si>
    <t>Martin Wondershek</t>
  </si>
  <si>
    <t>mwondershek@harriscompany.com</t>
  </si>
  <si>
    <t>4931 Tesla Drive; Suite C</t>
  </si>
  <si>
    <t>Bowie</t>
  </si>
  <si>
    <t>$17,067,100.00</t>
  </si>
  <si>
    <t>Harvey W Hottel Inc</t>
  </si>
  <si>
    <t>Dave Chiasson</t>
  </si>
  <si>
    <t>dchiasson@harveyhottel.com</t>
  </si>
  <si>
    <t>18900 Woodfield Rd</t>
  </si>
  <si>
    <t>$231,100.00</t>
  </si>
  <si>
    <t>Hava Tech Inc (Supplier)</t>
  </si>
  <si>
    <t>703-370-4949</t>
  </si>
  <si>
    <t>Rocky Morrison</t>
  </si>
  <si>
    <t>rocky@havatechinc.com</t>
  </si>
  <si>
    <t>14210 Sullyfield Circle</t>
  </si>
  <si>
    <t>$1,700,700.00</t>
  </si>
  <si>
    <t>Hdz Mechanical</t>
  </si>
  <si>
    <t>Elmer Hernandez</t>
  </si>
  <si>
    <t>elmer@hdzmech.com</t>
  </si>
  <si>
    <t>$1,034,310.00</t>
  </si>
  <si>
    <t>Heer Bros., Inc</t>
  </si>
  <si>
    <t>Scott Gardiner</t>
  </si>
  <si>
    <t>scottgardiner@heerbros.com</t>
  </si>
  <si>
    <t>7500 Energy Court; Unit 8</t>
  </si>
  <si>
    <t>Curtis Bay</t>
  </si>
  <si>
    <t>$1,122,000.00</t>
  </si>
  <si>
    <t>Heffron Company, Inc.</t>
  </si>
  <si>
    <t>(301) 816-2088</t>
  </si>
  <si>
    <t>Colin Dunn</t>
  </si>
  <si>
    <t>cdunn@heffroncompany.com</t>
  </si>
  <si>
    <t>4940 Nicholson Ct suite 100</t>
  </si>
  <si>
    <t>Kensington</t>
  </si>
  <si>
    <t>$3,674,380.00</t>
  </si>
  <si>
    <t>Heritage Mechanical</t>
  </si>
  <si>
    <t>Ian Gardner</t>
  </si>
  <si>
    <t>igardner@heritagemechanical-llc.com</t>
  </si>
  <si>
    <t>2134 Espey Court Suite 7</t>
  </si>
  <si>
    <t>$15,180,280.00</t>
  </si>
  <si>
    <t>High Purity Systems, Inc.</t>
  </si>
  <si>
    <t>Bids Administrator</t>
  </si>
  <si>
    <t>infor@highpuritysystemsinc.com</t>
  </si>
  <si>
    <t>8432 Quarry Road</t>
  </si>
  <si>
    <t>Horizon Mechanical Services, Llc</t>
  </si>
  <si>
    <t>(301) 750-2291</t>
  </si>
  <si>
    <t>8039 Penn Randall Place</t>
  </si>
  <si>
    <t>Horton Mechanical</t>
  </si>
  <si>
    <t>Tony Rasinski</t>
  </si>
  <si>
    <t>arasinski@mechcont.com</t>
  </si>
  <si>
    <t>5223 Cedgate Road</t>
  </si>
  <si>
    <t>$2,109,807.40</t>
  </si>
  <si>
    <t>Hot &amp; Cold Corporation</t>
  </si>
  <si>
    <t>(301) 868-2600</t>
  </si>
  <si>
    <t>Muhammad Haneef</t>
  </si>
  <si>
    <t>haneef@hotcoldcorporation.com</t>
  </si>
  <si>
    <t>7331 Old Alexandria Ferry Road</t>
  </si>
  <si>
    <t>Clinton</t>
  </si>
  <si>
    <t>Howard Mechanical Llc</t>
  </si>
  <si>
    <t>(443) 714-4636</t>
  </si>
  <si>
    <t>Jared Howard</t>
  </si>
  <si>
    <t>hm@jhowardmech.com</t>
  </si>
  <si>
    <t>Hugee Corporation</t>
  </si>
  <si>
    <t>202-636-1041</t>
  </si>
  <si>
    <t>Perry Hugee</t>
  </si>
  <si>
    <t>perry@hugeecorporation.com</t>
  </si>
  <si>
    <t>1818 New York Avenue Northeast, Suite 212d</t>
  </si>
  <si>
    <t>Hurley &amp; Co</t>
  </si>
  <si>
    <t>(301) 985-2241</t>
  </si>
  <si>
    <t>4320 Bladensburg Road</t>
  </si>
  <si>
    <t>Brentwood</t>
  </si>
  <si>
    <t>Industrial Refrigeration Service, Inc.</t>
  </si>
  <si>
    <t>Bids Adminstrator</t>
  </si>
  <si>
    <t>info@irsmd.com</t>
  </si>
  <si>
    <t>1116 Middle River Road, Suite K</t>
  </si>
  <si>
    <t>Innovation Mechanical, Inc.</t>
  </si>
  <si>
    <t>240-614-3164</t>
  </si>
  <si>
    <t>est@innovationmechanicalinc.com</t>
  </si>
  <si>
    <t>Raleigh Place</t>
  </si>
  <si>
    <t>$2,100,299.00</t>
  </si>
  <si>
    <t>Itb Heating &amp; Ac</t>
  </si>
  <si>
    <t>(410) 982-9571</t>
  </si>
  <si>
    <t>207 Williams Road</t>
  </si>
  <si>
    <t>J. F. Fischer, Inc. (JF Fisher)</t>
  </si>
  <si>
    <t>Daniel Fischer</t>
  </si>
  <si>
    <t>info@mechcont.com</t>
  </si>
  <si>
    <t>7909 Philadelphia Road</t>
  </si>
  <si>
    <t>$1,223,500.00</t>
  </si>
  <si>
    <t>J.m. Taylor Inc</t>
  </si>
  <si>
    <t>410-325-3300</t>
  </si>
  <si>
    <t>Matt Randolph</t>
  </si>
  <si>
    <t>mattr@jmtaylor.com</t>
  </si>
  <si>
    <t>6500 Moravia Park Drive</t>
  </si>
  <si>
    <t>J&amp;d Mechanical Services, Inc.</t>
  </si>
  <si>
    <t>Jeff Nichols</t>
  </si>
  <si>
    <t>jdmechanicalser@aol.com</t>
  </si>
  <si>
    <t>6585 Merchant Place; #308</t>
  </si>
  <si>
    <t>Warrenton</t>
  </si>
  <si>
    <t>$396,600.00</t>
  </si>
  <si>
    <t>J&amp;j Mechanical</t>
  </si>
  <si>
    <t>Joe Ciampa</t>
  </si>
  <si>
    <t>joe@jjmechanicalhvac.com</t>
  </si>
  <si>
    <t>1206 Belmar Drive</t>
  </si>
  <si>
    <t>Belcamp</t>
  </si>
  <si>
    <t>$250,200.00</t>
  </si>
  <si>
    <t>James A. Quick</t>
  </si>
  <si>
    <t>(410) 893-4200</t>
  </si>
  <si>
    <t>21 Newport Drive</t>
  </si>
  <si>
    <t>$775,100.00</t>
  </si>
  <si>
    <t>James Craft &amp; Son, Inc.</t>
  </si>
  <si>
    <t>717-266-6629</t>
  </si>
  <si>
    <t>Tim Wolf</t>
  </si>
  <si>
    <t>twolf@jamescraftson.com</t>
  </si>
  <si>
    <t>780 York Haven Road</t>
  </si>
  <si>
    <t>Manchester</t>
  </si>
  <si>
    <t>Jarboe Mechanical Hvac Llc</t>
  </si>
  <si>
    <t>(410) 535-3556</t>
  </si>
  <si>
    <t>Huntingtown Road</t>
  </si>
  <si>
    <t>$237,800.00</t>
  </si>
  <si>
    <t>Jcm Associates, Inc.</t>
  </si>
  <si>
    <t>Robert Bryant</t>
  </si>
  <si>
    <t>rbryant@gojcm.com</t>
  </si>
  <si>
    <t>301 Prince Georges Blvd # C</t>
  </si>
  <si>
    <t>$3,539,705,899.00</t>
  </si>
  <si>
    <t>Jeffrey Brown Contracting, Llc</t>
  </si>
  <si>
    <t>+1 443-478-6065</t>
  </si>
  <si>
    <t>Gabriel Emmons</t>
  </si>
  <si>
    <t>gemmons@jbc.bz</t>
  </si>
  <si>
    <t>$53,300.00</t>
  </si>
  <si>
    <t>Jk Mechanical</t>
  </si>
  <si>
    <t>John G. Webster</t>
  </si>
  <si>
    <t>Josh Bentley</t>
  </si>
  <si>
    <t>jbentley6595@gmail.com</t>
  </si>
  <si>
    <t>10738 Tucker Street</t>
  </si>
  <si>
    <t>Johnson Controls Inc</t>
  </si>
  <si>
    <t>Joselyn Delgado</t>
  </si>
  <si>
    <t>joselyn.delgado@jci.com</t>
  </si>
  <si>
    <t>60 Loveton Circle</t>
  </si>
  <si>
    <t>Sparks Glencoe</t>
  </si>
  <si>
    <t>Johnson Controls, Inc.</t>
  </si>
  <si>
    <t>(301) 677-9904</t>
  </si>
  <si>
    <t>John Blankenship</t>
  </si>
  <si>
    <t>john.carroll.blankenship@us.army.mil</t>
  </si>
  <si>
    <t>219 Chisholm Ave</t>
  </si>
  <si>
    <t>Odenton</t>
  </si>
  <si>
    <t>Johnston Construction</t>
  </si>
  <si>
    <t>717-292-3606</t>
  </si>
  <si>
    <t>Martin Workinger</t>
  </si>
  <si>
    <t>mw@jcc-ri.com</t>
  </si>
  <si>
    <t>4331 Fox Run Road</t>
  </si>
  <si>
    <t>Dover</t>
  </si>
  <si>
    <t>Joseph M Zimmer Inc</t>
  </si>
  <si>
    <t>Jeff White</t>
  </si>
  <si>
    <t>jeff_white@jmzinc.com</t>
  </si>
  <si>
    <t>2225 Northwood Drive</t>
  </si>
  <si>
    <t>Journeyman Mechanical Contractors Inc.</t>
  </si>
  <si>
    <t>Derril Mackin</t>
  </si>
  <si>
    <t>dmackin@journeyman-mechanical.com</t>
  </si>
  <si>
    <t>2125 Baldwin Avenue</t>
  </si>
  <si>
    <t>$524,710.00</t>
  </si>
  <si>
    <t>Jpg Plumbing &amp; Mechanical Services, Inc.</t>
  </si>
  <si>
    <t>John Geiling</t>
  </si>
  <si>
    <t>jpgeiling@gmail.com</t>
  </si>
  <si>
    <t>8620 Patuxent Range Rd</t>
  </si>
  <si>
    <t>$2,757,200.00</t>
  </si>
  <si>
    <t>Kdb Mechanical Llc</t>
  </si>
  <si>
    <t>Chris Jordan</t>
  </si>
  <si>
    <t>cjordan@kdbllc.com</t>
  </si>
  <si>
    <t>1101 Wootton Parkway, Suite 800</t>
  </si>
  <si>
    <t>Kelly Hvac Inc.</t>
  </si>
  <si>
    <t>Xx - Keith Nicholson</t>
  </si>
  <si>
    <t>knicholson@kellyhvac.com</t>
  </si>
  <si>
    <t>8431 Old Marlboro Pike</t>
  </si>
  <si>
    <t>Kent Island Mechanical</t>
  </si>
  <si>
    <t>(301) 776-3035</t>
  </si>
  <si>
    <t>Mark Bowen</t>
  </si>
  <si>
    <t>mbowen@kentislandmechanical.com</t>
  </si>
  <si>
    <t>13340 Mid Atlantic Blvd</t>
  </si>
  <si>
    <t>$5,082,430.00</t>
  </si>
  <si>
    <t>Yes - Local 24 - HFIAW</t>
  </si>
  <si>
    <t>Kinetic Systems, Inc.</t>
  </si>
  <si>
    <t>Xx - Timothy Harley</t>
  </si>
  <si>
    <t>timothy.harley@kinetics.net</t>
  </si>
  <si>
    <t>4780 Winchester Blvd., Ste 1</t>
  </si>
  <si>
    <t>Kk Engineering, Llc</t>
  </si>
  <si>
    <t>443 -393 -1070</t>
  </si>
  <si>
    <t>8850 Columbia 100 Parkway</t>
  </si>
  <si>
    <t>Kmn Mechanical</t>
  </si>
  <si>
    <t>Dwight Day</t>
  </si>
  <si>
    <t>dday@kmnmecahnical.com</t>
  </si>
  <si>
    <t>7400 Boston Blvd</t>
  </si>
  <si>
    <t>$663,700.00</t>
  </si>
  <si>
    <t>Knott Mechanical</t>
  </si>
  <si>
    <t>338 Clubhouse Rd</t>
  </si>
  <si>
    <t>Krick Heating And Plumbing</t>
  </si>
  <si>
    <t>5011 46th Avenue</t>
  </si>
  <si>
    <t>Limbach Company, Llc</t>
  </si>
  <si>
    <t>Natalia Angelelli</t>
  </si>
  <si>
    <t>natalia.angelelli@limbachinc.com</t>
  </si>
  <si>
    <t>13261 Mid Atlantic Blvd</t>
  </si>
  <si>
    <t>$235,000.00</t>
  </si>
  <si>
    <t>LP Heating &amp; Ac</t>
  </si>
  <si>
    <t>(301) 921-9454</t>
  </si>
  <si>
    <t>Bonanza Way</t>
  </si>
  <si>
    <t>$8,200.00</t>
  </si>
  <si>
    <t>M.s. Johnston Company (MS Johnston)</t>
  </si>
  <si>
    <t>13261 Pennsylvania Ave</t>
  </si>
  <si>
    <t>Maga Mechanical Contractors, Inc.</t>
  </si>
  <si>
    <t>Paul Thomas</t>
  </si>
  <si>
    <t>paulthomas@magamech.com</t>
  </si>
  <si>
    <t>99 Skipjack Road #1</t>
  </si>
  <si>
    <t>Prince Frederick</t>
  </si>
  <si>
    <t>$229,100.00</t>
  </si>
  <si>
    <t>Magnolia Plumbing, Heating &amp; Cooling</t>
  </si>
  <si>
    <t>(202) 829-8510</t>
  </si>
  <si>
    <t>Kevin Fash</t>
  </si>
  <si>
    <t>kfash@magnolia-companies.com</t>
  </si>
  <si>
    <t>600 Gallatin St NE</t>
  </si>
  <si>
    <t>$1,700,083,800.00</t>
  </si>
  <si>
    <t>Mallick Mechanical Contractors</t>
  </si>
  <si>
    <t>James Brookhart</t>
  </si>
  <si>
    <t>jbrookhart@mallickmechanical.com</t>
  </si>
  <si>
    <t>8010 Cessna Avenue</t>
  </si>
  <si>
    <t>$2,747,060.00</t>
  </si>
  <si>
    <t>Martin J Braun Mechanical Services (A Fidelity Company)</t>
  </si>
  <si>
    <t>Shelby Wieland</t>
  </si>
  <si>
    <t>swieland@mjbraun.com</t>
  </si>
  <si>
    <t>215 Schilling Circle</t>
  </si>
  <si>
    <t>$968,900.00</t>
  </si>
  <si>
    <t>Maryland Mechanical Systems, Inc.</t>
  </si>
  <si>
    <t>Justin Whitaker</t>
  </si>
  <si>
    <t>jwhitaker@marymec.com</t>
  </si>
  <si>
    <t>300 South Haven Street</t>
  </si>
  <si>
    <t>$374,750.00</t>
  </si>
  <si>
    <t>Mayne Mechanical</t>
  </si>
  <si>
    <t>Mary Green</t>
  </si>
  <si>
    <t>mary@maynemechanical.com</t>
  </si>
  <si>
    <t>5401 New Expansion Drive</t>
  </si>
  <si>
    <t>$151,400.00</t>
  </si>
  <si>
    <t>Mccloskey Mechanical Contractors, Inc.</t>
  </si>
  <si>
    <t>Matt Angelucci</t>
  </si>
  <si>
    <t>matt@mccloskeymechanical.com</t>
  </si>
  <si>
    <t>4400 Macarthur Blvd., Nw, Suite 305</t>
  </si>
  <si>
    <t>$1,879,550.00</t>
  </si>
  <si>
    <t>Mchenry &amp; Associates</t>
  </si>
  <si>
    <t>216.292.4696</t>
  </si>
  <si>
    <t>25001 Emery Road</t>
  </si>
  <si>
    <t>Warrensville Heights</t>
  </si>
  <si>
    <t>OH</t>
  </si>
  <si>
    <t>Mecco, Inc.</t>
  </si>
  <si>
    <t>(301) 953–7600</t>
  </si>
  <si>
    <t>Dan Wells</t>
  </si>
  <si>
    <t>dwells@meccoinc.net</t>
  </si>
  <si>
    <t>10545 Guilford Road</t>
  </si>
  <si>
    <t>$741,900.00</t>
  </si>
  <si>
    <t>Mechanical Design Systems, Inc.</t>
  </si>
  <si>
    <t>6302 Aaron Lane</t>
  </si>
  <si>
    <t>$133,500.00</t>
  </si>
  <si>
    <t>Mechanical Engineering And Construction Corporation</t>
  </si>
  <si>
    <t>6159 Edmondson Avenue</t>
  </si>
  <si>
    <t>Mechpro Mechanical Contracting</t>
  </si>
  <si>
    <t>410-449-4730</t>
  </si>
  <si>
    <t>300 Jendan Way</t>
  </si>
  <si>
    <t>Mick's Plumbing &amp; Heating</t>
  </si>
  <si>
    <t>Jack Keller</t>
  </si>
  <si>
    <t>estimate@micksplumbinghvac.com</t>
  </si>
  <si>
    <t>27 Howard Street</t>
  </si>
  <si>
    <t>Thurmont</t>
  </si>
  <si>
    <t>$23,400.00</t>
  </si>
  <si>
    <t>Mikes's Plumbing &amp; Heating</t>
  </si>
  <si>
    <t>410-541-1811</t>
  </si>
  <si>
    <t>7110 Golden Ring Road Ste. 111</t>
  </si>
  <si>
    <t>Essex</t>
  </si>
  <si>
    <t>Moores Electrical And Mechanical</t>
  </si>
  <si>
    <t>Joe Byron</t>
  </si>
  <si>
    <t>jbyron@mooreselectric.com</t>
  </si>
  <si>
    <t>1125 Stoney Ridge Road</t>
  </si>
  <si>
    <t>Charlottesville</t>
  </si>
  <si>
    <t>Msi Mechanical Systems Inc</t>
  </si>
  <si>
    <t>410-381-4444</t>
  </si>
  <si>
    <t>Mike Nickoles</t>
  </si>
  <si>
    <t>mnickolessr@mechsys.com</t>
  </si>
  <si>
    <t>$106,700.00</t>
  </si>
  <si>
    <t>Myco Mechanical</t>
  </si>
  <si>
    <t>Info Myco</t>
  </si>
  <si>
    <t>info@mycomechanical.com</t>
  </si>
  <si>
    <t>1 North Washington Street</t>
  </si>
  <si>
    <t>Telford</t>
  </si>
  <si>
    <t>Nac Mechanical Services</t>
  </si>
  <si>
    <t>Chris Kaufmann</t>
  </si>
  <si>
    <t>info@nacgroup.com</t>
  </si>
  <si>
    <t>16761 Oakmont Avenue</t>
  </si>
  <si>
    <t>Nelson's Insulation</t>
  </si>
  <si>
    <t>Paul Ottolino</t>
  </si>
  <si>
    <t>pottolino@nelsoninsulation.com</t>
  </si>
  <si>
    <t>550 Telser Road</t>
  </si>
  <si>
    <t>Lake Zurich</t>
  </si>
  <si>
    <t>Nisell Plumbing &amp; Heating</t>
  </si>
  <si>
    <t>1939 Edgewood Road</t>
  </si>
  <si>
    <t>Parkville</t>
  </si>
  <si>
    <t>Norair Engineering Corp.</t>
  </si>
  <si>
    <t>Richard Norair</t>
  </si>
  <si>
    <t>rnorair@norair.com</t>
  </si>
  <si>
    <t>337 Brightseat Road, Suite 200</t>
  </si>
  <si>
    <t>Landover</t>
  </si>
  <si>
    <t>$45,000.00</t>
  </si>
  <si>
    <t>Panacea Mechanical Contractors</t>
  </si>
  <si>
    <t>Elisa Joyner</t>
  </si>
  <si>
    <t>ejoyner@panaceainc.net</t>
  </si>
  <si>
    <t>100 East Street, Se</t>
  </si>
  <si>
    <t>Vienna</t>
  </si>
  <si>
    <t>$721,835.00</t>
  </si>
  <si>
    <t>Paramount Mechanical Corporation</t>
  </si>
  <si>
    <t>Cullen O'donnell</t>
  </si>
  <si>
    <t>codonnell@paramount-mech.com</t>
  </si>
  <si>
    <t>7053 Gateway Ct.</t>
  </si>
  <si>
    <t>$4,200,850.00</t>
  </si>
  <si>
    <t>Patapsco Mechanical Llc</t>
  </si>
  <si>
    <t>Steve Downey</t>
  </si>
  <si>
    <t>sdowney@patapscomechanical.com</t>
  </si>
  <si>
    <t>7501 Connelley Drive, Suite I</t>
  </si>
  <si>
    <t>Hanover</t>
  </si>
  <si>
    <t>Pc Construction Company</t>
  </si>
  <si>
    <t>Damon Hand</t>
  </si>
  <si>
    <t>dhand@pcconstruction.com</t>
  </si>
  <si>
    <t>8866 Wagner Station Road</t>
  </si>
  <si>
    <t>$1,210,300.00</t>
  </si>
  <si>
    <t>Peachtree Mechanical, Inc</t>
  </si>
  <si>
    <t>Preston Denney</t>
  </si>
  <si>
    <t>rdenney@peachtreemechanical.com</t>
  </si>
  <si>
    <t>535 Marksmen Court</t>
  </si>
  <si>
    <t>Fayetteville</t>
  </si>
  <si>
    <t>GA</t>
  </si>
  <si>
    <t>$80,800.00</t>
  </si>
  <si>
    <t>Penguin Mechanical Inc</t>
  </si>
  <si>
    <t>Mike Yang</t>
  </si>
  <si>
    <t>myang@penguinmc.com</t>
  </si>
  <si>
    <t>10920 Pump House Road; Unit B</t>
  </si>
  <si>
    <t>Annapolis Junction</t>
  </si>
  <si>
    <t>Phillips Way</t>
  </si>
  <si>
    <t>Phillip Martien</t>
  </si>
  <si>
    <t>pmartien@phillipsway.com</t>
  </si>
  <si>
    <t>$1,844,400.00</t>
  </si>
  <si>
    <t>Plastech Inc</t>
  </si>
  <si>
    <t>Contact Plastech</t>
  </si>
  <si>
    <t>contact@plastechservices.com</t>
  </si>
  <si>
    <t>3903 Washington Blvd</t>
  </si>
  <si>
    <t>Halethorpe</t>
  </si>
  <si>
    <t>$4,000.00</t>
  </si>
  <si>
    <t>Poole Mechanical Corporation</t>
  </si>
  <si>
    <t>(301) 779-3636</t>
  </si>
  <si>
    <t>3419 Kings Retreat Court</t>
  </si>
  <si>
    <t>Davidsonville</t>
  </si>
  <si>
    <t>Potomac Mechanical Contractors, Inc.</t>
  </si>
  <si>
    <t>18913 Premiere Court</t>
  </si>
  <si>
    <t>$127,000.00</t>
  </si>
  <si>
    <t>Precision Comfort, Llc</t>
  </si>
  <si>
    <t>Press Mechanical Contractors, Inc.</t>
  </si>
  <si>
    <t>Edson Hinostroza</t>
  </si>
  <si>
    <t>edson@pressmechanical.com</t>
  </si>
  <si>
    <t>7073 Gateway Court</t>
  </si>
  <si>
    <t>$567,100.00</t>
  </si>
  <si>
    <t>Priority Mechanical Contractors, Llc</t>
  </si>
  <si>
    <t>240.456.0512</t>
  </si>
  <si>
    <t>Office Email</t>
  </si>
  <si>
    <t>megh@prioritymech.com</t>
  </si>
  <si>
    <t>14236 Cherry Lane Court</t>
  </si>
  <si>
    <t>Pro - Air, Inc.</t>
  </si>
  <si>
    <t>Jimmy Davis</t>
  </si>
  <si>
    <t>1319 F Street Nw</t>
  </si>
  <si>
    <t>$10,091,725.00</t>
  </si>
  <si>
    <t>Pro - Tech Mechanical Services, Inc.</t>
  </si>
  <si>
    <t>Betty Coughlin</t>
  </si>
  <si>
    <t>412 Timber Lane</t>
  </si>
  <si>
    <t>Pleasant Hills</t>
  </si>
  <si>
    <t>$23,300.00</t>
  </si>
  <si>
    <t>Protec Construction, Inc.</t>
  </si>
  <si>
    <t>(202) 232-0080</t>
  </si>
  <si>
    <t>Aslam Patmah</t>
  </si>
  <si>
    <t>aslam@protecconstructioninc.net</t>
  </si>
  <si>
    <t>1314 8th Street Northwest</t>
  </si>
  <si>
    <t>Puyenpa</t>
  </si>
  <si>
    <t>Chelie Sheehan</t>
  </si>
  <si>
    <t>cheliesheehan@puyenpa.com</t>
  </si>
  <si>
    <t>600 S Frederick Ave</t>
  </si>
  <si>
    <t>$355,000.00</t>
  </si>
  <si>
    <t>R Brooks Mechanical</t>
  </si>
  <si>
    <t>410-469-6843</t>
  </si>
  <si>
    <t>1828 Conowingo Road</t>
  </si>
  <si>
    <t>Rising Sun</t>
  </si>
  <si>
    <t>R H Lapp &amp; Sons Inc</t>
  </si>
  <si>
    <t>(301) 724-6650</t>
  </si>
  <si>
    <t>Dylan Marker</t>
  </si>
  <si>
    <t>dmarker@rhlapp.com</t>
  </si>
  <si>
    <t>880 Kelly Road</t>
  </si>
  <si>
    <t>Cumberland</t>
  </si>
  <si>
    <t>R.f Warder Inc.</t>
  </si>
  <si>
    <t>Joseph Hren</t>
  </si>
  <si>
    <t>jhren@rfwarder.com</t>
  </si>
  <si>
    <t>R.i.g. Construction, Llc</t>
  </si>
  <si>
    <t>Renard Gardner</t>
  </si>
  <si>
    <t>rgardner@rigconstruction.com</t>
  </si>
  <si>
    <t>3208 Gartside Avenue</t>
  </si>
  <si>
    <t>Milford Mill</t>
  </si>
  <si>
    <t>R.v. Carey's Plumbing And Heating</t>
  </si>
  <si>
    <t>14650 - C Rothgeb Drive</t>
  </si>
  <si>
    <t>R&amp;r Mechanical Llc</t>
  </si>
  <si>
    <t>Jeff Emig</t>
  </si>
  <si>
    <t>jemig@rrmechanical.com</t>
  </si>
  <si>
    <t>2902 Bladensburg Road, Ne</t>
  </si>
  <si>
    <t>$23,072,827.34</t>
  </si>
  <si>
    <t>Ralph G. Degli Obizzi (RGD) &amp; Sons, Inc</t>
  </si>
  <si>
    <t>Daniel Degli Obizzi</t>
  </si>
  <si>
    <t>daniel@degli.com</t>
  </si>
  <si>
    <t>400 Robinson Lane</t>
  </si>
  <si>
    <t>Wilmington</t>
  </si>
  <si>
    <t>Riddleberger Brothers, Inc.</t>
  </si>
  <si>
    <t>Darryl Lam</t>
  </si>
  <si>
    <t>lamd@rbiva.com</t>
  </si>
  <si>
    <t>6127 South Valley Pike</t>
  </si>
  <si>
    <t>Mount Crawford</t>
  </si>
  <si>
    <t>Roman Mechanical</t>
  </si>
  <si>
    <t>Eric Roman</t>
  </si>
  <si>
    <t>eric@romanmechanical.com</t>
  </si>
  <si>
    <t>5612 Lanham Station Road</t>
  </si>
  <si>
    <t>Rommel Construction</t>
  </si>
  <si>
    <t>Xx - Steve Bosse</t>
  </si>
  <si>
    <t>sbosse@rommelusa.com</t>
  </si>
  <si>
    <t>601 Nursey Road</t>
  </si>
  <si>
    <t>Linthicum</t>
  </si>
  <si>
    <t>$595,100.00</t>
  </si>
  <si>
    <t>Ronco Mechanical Contractors, Inc.</t>
  </si>
  <si>
    <t>Joe Novak</t>
  </si>
  <si>
    <t>jnovak@roncomech.com</t>
  </si>
  <si>
    <t>8916 Simpson Lane</t>
  </si>
  <si>
    <t>$3,683,720.00</t>
  </si>
  <si>
    <t>Rsc Electrical &amp; Mechanical Contractors, Inc.</t>
  </si>
  <si>
    <t>Johnathan Bolden</t>
  </si>
  <si>
    <t>johnathan_bolden@rsccompany.com</t>
  </si>
  <si>
    <t>6035 Dix Street, Ne</t>
  </si>
  <si>
    <t>S&amp;s Mechanical</t>
  </si>
  <si>
    <t>Seth Bannon</t>
  </si>
  <si>
    <t>seth@sandsmidatlantic.com</t>
  </si>
  <si>
    <t>4831 Crain Highway</t>
  </si>
  <si>
    <t>Sagewater</t>
  </si>
  <si>
    <t>+1 888-584-9990</t>
  </si>
  <si>
    <t>Andrew Huck</t>
  </si>
  <si>
    <t>ahuck@sagewater.com</t>
  </si>
  <si>
    <t>1319 Powhatan Street</t>
  </si>
  <si>
    <t>Salco Mechanical Contractors</t>
  </si>
  <si>
    <t>Robert Stanton</t>
  </si>
  <si>
    <t>bstanton@salcomechanical.com</t>
  </si>
  <si>
    <t>615 South Stonestreet Avenue</t>
  </si>
  <si>
    <t>Shapiro &amp; Duncan, Inc.</t>
  </si>
  <si>
    <t>(301) 315-6260</t>
  </si>
  <si>
    <t>Andrew Ginn</t>
  </si>
  <si>
    <t>aginn@shapiroandduncan.com</t>
  </si>
  <si>
    <t>14620 Rothgeb Drive</t>
  </si>
  <si>
    <t>$1,710,172,299.20</t>
  </si>
  <si>
    <t>33% - 1 out of 3 awards</t>
  </si>
  <si>
    <t>Carl Garcia</t>
  </si>
  <si>
    <t>01-02-2024</t>
  </si>
  <si>
    <t>James Maher</t>
  </si>
  <si>
    <t>Shepherd, Harvey &amp; Associates, Inc.</t>
  </si>
  <si>
    <t>+1 770-495-4007</t>
  </si>
  <si>
    <t>4855 River Green Parkway</t>
  </si>
  <si>
    <t>Duluth</t>
  </si>
  <si>
    <t>Silverado Air Systems</t>
  </si>
  <si>
    <t>+1 410-374-9900</t>
  </si>
  <si>
    <t>Information Email</t>
  </si>
  <si>
    <t>dgarland@silveradoairsystems.com</t>
  </si>
  <si>
    <t>Shiloh Avenue</t>
  </si>
  <si>
    <t>Hampstead</t>
  </si>
  <si>
    <t>Smith Mechanical Inc.</t>
  </si>
  <si>
    <t>Melissa M</t>
  </si>
  <si>
    <t>melissam@smithmech.com</t>
  </si>
  <si>
    <t>9195 Red Branch Road</t>
  </si>
  <si>
    <t>$311,050.00</t>
  </si>
  <si>
    <t>Sodexo Roth</t>
  </si>
  <si>
    <t>Lou Cox</t>
  </si>
  <si>
    <t>lou.c@sodexoroth.com</t>
  </si>
  <si>
    <t>3847 Crum Road</t>
  </si>
  <si>
    <t>Youngstown</t>
  </si>
  <si>
    <t>South Mountain Mechanical Contractors, Inc.</t>
  </si>
  <si>
    <t>info@smmci.com</t>
  </si>
  <si>
    <t>15940 Frederick Road</t>
  </si>
  <si>
    <t>Woodbine</t>
  </si>
  <si>
    <t>Southern Mechanical Incorporated</t>
  </si>
  <si>
    <t>Graham Erbe</t>
  </si>
  <si>
    <t>gerbe@smibalto.com</t>
  </si>
  <si>
    <t>2607 Annapolis Road</t>
  </si>
  <si>
    <t>$1,529,650.00</t>
  </si>
  <si>
    <t>Southland Industries</t>
  </si>
  <si>
    <t>Dan Glover</t>
  </si>
  <si>
    <t>dglover@southlandind.com</t>
  </si>
  <si>
    <t>22340 Dresden Street</t>
  </si>
  <si>
    <t>Dulles</t>
  </si>
  <si>
    <t>$7,171,900.00</t>
  </si>
  <si>
    <t>Spears Mechanical</t>
  </si>
  <si>
    <t>Ken Klee</t>
  </si>
  <si>
    <t>kklee@spearsmechanical.com</t>
  </si>
  <si>
    <t>$1,500.00</t>
  </si>
  <si>
    <t>Stokes Mechanical Inc</t>
  </si>
  <si>
    <t>Craig Stokes</t>
  </si>
  <si>
    <t>stokes_craig@yahoo.com</t>
  </si>
  <si>
    <t>4335 Glenmore Avenue</t>
  </si>
  <si>
    <t>$669,300.00</t>
  </si>
  <si>
    <t>Superior Mechanical Services, Inc.</t>
  </si>
  <si>
    <t>Mike Funn</t>
  </si>
  <si>
    <t>mfunn@superiormech.net</t>
  </si>
  <si>
    <t>6655 Mid Cities Ave</t>
  </si>
  <si>
    <t>$3,675,150.00</t>
  </si>
  <si>
    <t>T &amp; D Plumbing &amp; Heating</t>
  </si>
  <si>
    <t>2133 Monumental Road</t>
  </si>
  <si>
    <t>Tate Engineering</t>
  </si>
  <si>
    <t>Steve Lynch</t>
  </si>
  <si>
    <t>slynch@tate.com</t>
  </si>
  <si>
    <t>3921 Vero Road</t>
  </si>
  <si>
    <t>Arbutus</t>
  </si>
  <si>
    <t>Temp Air Company (TAC)</t>
  </si>
  <si>
    <t>Dustin Neugebauer</t>
  </si>
  <si>
    <t>dustin@tempaircompany.com</t>
  </si>
  <si>
    <t>51 Gwynns Mills Court</t>
  </si>
  <si>
    <t>Owings Mills</t>
  </si>
  <si>
    <t>$5,292,521.50</t>
  </si>
  <si>
    <t>The Bell Companies</t>
  </si>
  <si>
    <t>William Holtzman</t>
  </si>
  <si>
    <t>wholtzman@thebellcompany.com</t>
  </si>
  <si>
    <t>941 Mercantile Drive</t>
  </si>
  <si>
    <t>$477,900.00</t>
  </si>
  <si>
    <t>The Bell Company</t>
  </si>
  <si>
    <t>(443) 410-3147</t>
  </si>
  <si>
    <t>Rob Wilderman</t>
  </si>
  <si>
    <t>rwilderman@thebellcompany.com</t>
  </si>
  <si>
    <t>‍Mercantile Drive, Suite C-F</t>
  </si>
  <si>
    <t>$305,200.00</t>
  </si>
  <si>
    <t>Nick Rogero</t>
  </si>
  <si>
    <t>The Decca Development Corporation</t>
  </si>
  <si>
    <t>George Simpson</t>
  </si>
  <si>
    <t>decca.dc@gmail.com</t>
  </si>
  <si>
    <t>903 Girard Street Northeast</t>
  </si>
  <si>
    <t>The Ead Companies, Inc.</t>
  </si>
  <si>
    <t>Elliot Defalco</t>
  </si>
  <si>
    <t>elliot@eadcompanies.com</t>
  </si>
  <si>
    <t>70 Industrial Park Drive</t>
  </si>
  <si>
    <t>Waldorf</t>
  </si>
  <si>
    <t>The Pci Service Co., A Division Of Power &amp; Combustion, Inc.</t>
  </si>
  <si>
    <t>David Fischer</t>
  </si>
  <si>
    <t>dfisher@powerandcombustion.com</t>
  </si>
  <si>
    <t>The Poole And Kent Corporation (P&amp;K)</t>
  </si>
  <si>
    <t>(410) 247-2200</t>
  </si>
  <si>
    <t>Tom Lynott</t>
  </si>
  <si>
    <t>tlynott@emcor.net</t>
  </si>
  <si>
    <t>(410) 247-2331</t>
  </si>
  <si>
    <t>4530 Hollins Ferry Road</t>
  </si>
  <si>
    <t>$1,980,500.00</t>
  </si>
  <si>
    <t>Yes - Locals 602 &amp; 5 - Steamfitters &amp; Plumbers</t>
  </si>
  <si>
    <t>The Severn Group</t>
  </si>
  <si>
    <t>Sean Keehn</t>
  </si>
  <si>
    <t>skeehn@theseverngroup.com</t>
  </si>
  <si>
    <t>375 Prince Georges Blvd; Suite B</t>
  </si>
  <si>
    <t>$5,341,900.00</t>
  </si>
  <si>
    <t>Titan Mechanical</t>
  </si>
  <si>
    <t>Sam Murillo</t>
  </si>
  <si>
    <t>samm@titanmech.net</t>
  </si>
  <si>
    <t>9104 - T Manassas Drive</t>
  </si>
  <si>
    <t>Manassas Park</t>
  </si>
  <si>
    <t>$1,844,185,100.00</t>
  </si>
  <si>
    <t>Total Mechanical Service Corp</t>
  </si>
  <si>
    <t>420 Broadway Avenue</t>
  </si>
  <si>
    <t>Saint Paul Park</t>
  </si>
  <si>
    <t>MN</t>
  </si>
  <si>
    <t>$126,450.00</t>
  </si>
  <si>
    <t>Towson Mechanical, Inc. (TMI)</t>
  </si>
  <si>
    <t>Keith Farless</t>
  </si>
  <si>
    <t>kfarless@towsonmechanical.com</t>
  </si>
  <si>
    <t>8651 Oakleigh Road</t>
  </si>
  <si>
    <t>$2,938,350.00</t>
  </si>
  <si>
    <t>Tyler Services Solutions</t>
  </si>
  <si>
    <t>(301) 831-8696</t>
  </si>
  <si>
    <t>Estimating Deparment Tyler Services</t>
  </si>
  <si>
    <t>estimator@tylerservice.com</t>
  </si>
  <si>
    <t>10087 Tyler Court - #2</t>
  </si>
  <si>
    <t>Ijamsville</t>
  </si>
  <si>
    <t>Ulliman Schutte Construction</t>
  </si>
  <si>
    <t>Adam Thomas</t>
  </si>
  <si>
    <t>athompson@ullimanschutte.com</t>
  </si>
  <si>
    <t>14420 Albermarle Point Place</t>
  </si>
  <si>
    <t>Upper Bay Mechanical</t>
  </si>
  <si>
    <t>(443) 760-6144</t>
  </si>
  <si>
    <t>Steve Sexton</t>
  </si>
  <si>
    <t>stevesexton@upper-baymaechanical.com</t>
  </si>
  <si>
    <t>Vertical Mechanical Group (AMSI + Inspiration Plumbing)</t>
  </si>
  <si>
    <t>Tim Anderson</t>
  </si>
  <si>
    <t>tanderson@amsihvac.com</t>
  </si>
  <si>
    <t>42669 Trade West Drive</t>
  </si>
  <si>
    <t>W Harley Miller Contractors</t>
  </si>
  <si>
    <t>Keith Kave</t>
  </si>
  <si>
    <t>kkave@whmcontractors.com</t>
  </si>
  <si>
    <t>1221 Hedgesville Rd</t>
  </si>
  <si>
    <t>Martinsburg</t>
  </si>
  <si>
    <t>W.E. Bowers</t>
  </si>
  <si>
    <t>(301) 419-2488</t>
  </si>
  <si>
    <t>Bill Forrest</t>
  </si>
  <si>
    <t>bforrest@webowers.com</t>
  </si>
  <si>
    <t>12401 Kiln Court</t>
  </si>
  <si>
    <t>Maryland</t>
  </si>
  <si>
    <t>$1,629,875,975.00</t>
  </si>
  <si>
    <t>W.G. Tomko Inc.</t>
  </si>
  <si>
    <t>(724) 348-2000</t>
  </si>
  <si>
    <t>Justin Krall</t>
  </si>
  <si>
    <t>jkrall@wgtomko.com</t>
  </si>
  <si>
    <t>2559 State Route #88</t>
  </si>
  <si>
    <t>Finleyville</t>
  </si>
  <si>
    <t>$7,183,571.50</t>
  </si>
  <si>
    <t>W.g./welch Llc</t>
  </si>
  <si>
    <t>Estimating Wg Welch</t>
  </si>
  <si>
    <t>estimating@wgwelchllc.com</t>
  </si>
  <si>
    <t>260 Interstate Circle</t>
  </si>
  <si>
    <t>$3,529,162,360.00</t>
  </si>
  <si>
    <t>W.l. Gary Company</t>
  </si>
  <si>
    <t>Wade Hale</t>
  </si>
  <si>
    <t>wadeh@wlgary.com</t>
  </si>
  <si>
    <t>1140 3rd Street, Ne; Suite 406</t>
  </si>
  <si>
    <t>$8,497,850.00</t>
  </si>
  <si>
    <t>W.n. Yoder &amp; Sons</t>
  </si>
  <si>
    <t>John Yoder</t>
  </si>
  <si>
    <t>jyoder@wnyoder.com</t>
  </si>
  <si>
    <t>16200 Mcmullen Highway Southwest</t>
  </si>
  <si>
    <t>Walter N. Yoder &amp; Sons, Inc.</t>
  </si>
  <si>
    <t>(301) 729-0610</t>
  </si>
  <si>
    <t>Information Contact</t>
  </si>
  <si>
    <t>Walton &amp; Company</t>
  </si>
  <si>
    <t>Tim Emerick</t>
  </si>
  <si>
    <t>temerick@waltonco.com</t>
  </si>
  <si>
    <t>1800 Industrial Hwy</t>
  </si>
  <si>
    <t>$70,000.00</t>
  </si>
  <si>
    <t>Warner Mechanical</t>
  </si>
  <si>
    <t>(301) 662-5387</t>
  </si>
  <si>
    <t>Matt Bumgardner</t>
  </si>
  <si>
    <t>mbumgardner@warner-mechanical.com</t>
  </si>
  <si>
    <t>217 Monroe Avenue</t>
  </si>
  <si>
    <t>$1,693,193,831.50</t>
  </si>
  <si>
    <t>Welch And Rushe, Inc.</t>
  </si>
  <si>
    <t>David Welch</t>
  </si>
  <si>
    <t>dwelch@welchandrushe.com</t>
  </si>
  <si>
    <t>391 Prince George's Boulevard</t>
  </si>
  <si>
    <t>$13,188,600.00</t>
  </si>
  <si>
    <t>Weon Mechanical Lc</t>
  </si>
  <si>
    <t>(571) 591-3339</t>
  </si>
  <si>
    <t>$21,800.00</t>
  </si>
  <si>
    <t>Woodlawn Mechanical Contractors, Inc.</t>
  </si>
  <si>
    <t>Scott Ray</t>
  </si>
  <si>
    <t>wdln@woodlawnmechanical.com</t>
  </si>
  <si>
    <t>8573 Atlas Drive</t>
  </si>
  <si>
    <t>$1,785,900.00</t>
  </si>
  <si>
    <t>Wright Mechanical</t>
  </si>
  <si>
    <t>106 Paul Mellon Court; Suite 300</t>
  </si>
  <si>
    <t>Xx - Rm Thornton Mechanical</t>
  </si>
  <si>
    <t>Bid Contact At Rm Thornton Mechanical</t>
  </si>
  <si>
    <t>tdanley@hmcc.com</t>
  </si>
  <si>
    <t>120 West Hampton Avenue</t>
  </si>
  <si>
    <t>Xx - Ryco Associates, Inc.</t>
  </si>
  <si>
    <t>(301) 206-2111</t>
  </si>
  <si>
    <t>154 - A Lafayette Avenue</t>
  </si>
  <si>
    <t>Xx - The Viron/pepco Services Partnership</t>
  </si>
  <si>
    <t>3014291533 ext. 115</t>
  </si>
  <si>
    <t>Jeffrey Akers</t>
  </si>
  <si>
    <t>jakers@vironpepco.com</t>
  </si>
  <si>
    <t>5200 Philadelphia Way; Suite H</t>
  </si>
  <si>
    <t>JOHHNY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</si>
</sst>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/dd/yy;@"/>
    <numFmt numFmtId="166" formatCode="[&lt;=9999999]###\-####;\(###\)\ ###\-####"/>
    <numFmt numFmtId="167" formatCode="[$-409]mmmm\ d\,\ yyyy;@"/>
    <numFmt numFmtId="168" formatCode="_(&quot;$&quot;* #,##0_);_(&quot;$&quot;* \(#,##0\);_(&quot;$&quot;* &quot;-&quot;??_);_(@_)"/>
    <numFmt numFmtId="169" formatCode="0.000%"/>
    <numFmt numFmtId="170" formatCode="_(&quot;$&quot;* #,##0.0000_);_(&quot;$&quot;* \(#,##0.0000\);_(&quot;$&quot;* &quot;-&quot;??_);_(@_)"/>
    <numFmt numFmtId="171" formatCode="0.0%"/>
    <numFmt numFmtId="172" formatCode="_(* #,##0_);_(* \(#,##0\);_(* &quot;-&quot;??_);_(@_)"/>
    <numFmt numFmtId="173" formatCode="mmmm\ yyyy"/>
    <numFmt numFmtId="174" formatCode="_(* #,##0.000_);_(* \(#,##0.000\);_(* &quot;-&quot;??_);_(@_)"/>
  </numFmts>
  <fonts count="70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  <font>
      <b/>
      <sz val="9"/>
      <color theme="0"/>
      <name val="Arial"/>
      <family val="2"/>
    </font>
    <font>
      <sz val="12"/>
      <color theme="0"/>
      <name val="Arial"/>
      <family val="2"/>
    </font>
    <font>
      <b/>
      <sz val="8"/>
      <color rgb="FFFF000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u/>
      <sz val="8"/>
      <color theme="10"/>
      <name val="Arial"/>
      <family val="2"/>
    </font>
    <font>
      <sz val="8"/>
      <name val="Arial Black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22"/>
      <name val="Arial Black"/>
      <family val="2"/>
    </font>
    <font>
      <b/>
      <sz val="11"/>
      <color rgb="FFFF0000"/>
      <name val="Calibri"/>
      <family val="2"/>
      <scheme val="minor"/>
    </font>
    <font>
      <sz val="20"/>
      <color theme="0"/>
      <name val="Arial"/>
      <family val="2"/>
    </font>
    <font>
      <b/>
      <sz val="36"/>
      <name val="Arial"/>
      <family val="2"/>
    </font>
    <font>
      <sz val="12"/>
      <name val="Arial"/>
      <family val="2"/>
    </font>
    <font>
      <b/>
      <sz val="26"/>
      <color theme="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20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AC3C3"/>
        <bgColor rgb="FFCAC3C3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43" fontId="27" fillId="0" borderId="0" applyFont="0" applyFill="0" applyBorder="0" applyAlignment="0" applyProtection="0"/>
    <xf numFmtId="0" fontId="3" fillId="0" borderId="0"/>
    <xf numFmtId="44" fontId="27" fillId="0" borderId="0" applyFont="0" applyFill="0" applyBorder="0" applyAlignment="0" applyProtection="0"/>
    <xf numFmtId="0" fontId="27" fillId="0" borderId="0"/>
  </cellStyleXfs>
  <cellXfs count="925">
    <xf numFmtId="0" fontId="0" fillId="0" borderId="0" xfId="0"/>
    <xf numFmtId="0" fontId="7" fillId="4" borderId="10" xfId="4" applyFont="1" applyFill="1" applyBorder="1" applyAlignment="1">
      <alignment horizontal="center" vertical="center"/>
    </xf>
    <xf numFmtId="0" fontId="6" fillId="0" borderId="0" xfId="4" applyAlignment="1">
      <alignment vertical="center"/>
    </xf>
    <xf numFmtId="0" fontId="8" fillId="6" borderId="11" xfId="4" applyFont="1" applyFill="1" applyBorder="1" applyAlignment="1">
      <alignment horizontal="right" vertical="center" indent="1"/>
    </xf>
    <xf numFmtId="0" fontId="6" fillId="9" borderId="10" xfId="4" applyFill="1" applyBorder="1" applyAlignment="1">
      <alignment horizontal="center" vertical="center" wrapText="1"/>
    </xf>
    <xf numFmtId="0" fontId="6" fillId="6" borderId="10" xfId="4" applyFill="1" applyBorder="1" applyAlignment="1">
      <alignment vertical="center"/>
    </xf>
    <xf numFmtId="0" fontId="6" fillId="0" borderId="10" xfId="4" applyBorder="1" applyAlignment="1">
      <alignment vertical="center"/>
    </xf>
    <xf numFmtId="0" fontId="5" fillId="9" borderId="13" xfId="4" applyFont="1" applyFill="1" applyBorder="1" applyAlignment="1">
      <alignment horizontal="left" indent="1"/>
    </xf>
    <xf numFmtId="0" fontId="6" fillId="0" borderId="0" xfId="4"/>
    <xf numFmtId="12" fontId="6" fillId="0" borderId="0" xfId="4" applyNumberFormat="1"/>
    <xf numFmtId="0" fontId="8" fillId="15" borderId="10" xfId="4" applyFont="1" applyFill="1" applyBorder="1" applyAlignment="1">
      <alignment vertical="top" wrapText="1"/>
    </xf>
    <xf numFmtId="0" fontId="8" fillId="8" borderId="10" xfId="4" applyFont="1" applyFill="1" applyBorder="1" applyAlignment="1">
      <alignment vertical="top" wrapText="1"/>
    </xf>
    <xf numFmtId="0" fontId="8" fillId="16" borderId="10" xfId="4" applyFont="1" applyFill="1" applyBorder="1" applyAlignment="1">
      <alignment vertical="top" wrapText="1"/>
    </xf>
    <xf numFmtId="0" fontId="2" fillId="17" borderId="10" xfId="4" applyFont="1" applyFill="1" applyBorder="1"/>
    <xf numFmtId="12" fontId="2" fillId="17" borderId="10" xfId="4" applyNumberFormat="1" applyFont="1" applyFill="1" applyBorder="1"/>
    <xf numFmtId="0" fontId="6" fillId="0" borderId="10" xfId="4" quotePrefix="1" applyBorder="1" applyAlignment="1">
      <alignment horizontal="center"/>
    </xf>
    <xf numFmtId="0" fontId="6" fillId="11" borderId="10" xfId="4" applyFill="1" applyBorder="1"/>
    <xf numFmtId="0" fontId="6" fillId="0" borderId="10" xfId="4" applyBorder="1"/>
    <xf numFmtId="12" fontId="6" fillId="11" borderId="10" xfId="4" applyNumberFormat="1" applyFill="1" applyBorder="1"/>
    <xf numFmtId="0" fontId="10" fillId="0" borderId="10" xfId="4" applyFont="1" applyBorder="1" applyAlignment="1">
      <alignment horizontal="left" indent="1"/>
    </xf>
    <xf numFmtId="0" fontId="5" fillId="0" borderId="10" xfId="4" applyFont="1" applyBorder="1" applyAlignment="1">
      <alignment horizontal="center"/>
    </xf>
    <xf numFmtId="0" fontId="6" fillId="0" borderId="10" xfId="4" applyBorder="1" applyAlignment="1">
      <alignment horizontal="center"/>
    </xf>
    <xf numFmtId="0" fontId="6" fillId="18" borderId="10" xfId="4" applyFill="1" applyBorder="1" applyAlignment="1">
      <alignment horizontal="center"/>
    </xf>
    <xf numFmtId="0" fontId="6" fillId="0" borderId="12" xfId="4" applyBorder="1" applyAlignment="1">
      <alignment horizontal="center"/>
    </xf>
    <xf numFmtId="12" fontId="6" fillId="0" borderId="10" xfId="4" applyNumberFormat="1" applyBorder="1"/>
    <xf numFmtId="0" fontId="6" fillId="3" borderId="10" xfId="4" applyFill="1" applyBorder="1" applyAlignment="1">
      <alignment horizontal="center"/>
    </xf>
    <xf numFmtId="0" fontId="6" fillId="15" borderId="10" xfId="4" applyFill="1" applyBorder="1" applyAlignment="1">
      <alignment horizontal="center"/>
    </xf>
    <xf numFmtId="0" fontId="6" fillId="19" borderId="10" xfId="4" applyFill="1" applyBorder="1" applyAlignment="1">
      <alignment horizontal="center"/>
    </xf>
    <xf numFmtId="0" fontId="6" fillId="20" borderId="10" xfId="4" applyFill="1" applyBorder="1" applyAlignment="1">
      <alignment horizontal="center"/>
    </xf>
    <xf numFmtId="0" fontId="6" fillId="3" borderId="10" xfId="4" applyFill="1" applyBorder="1"/>
    <xf numFmtId="0" fontId="5" fillId="5" borderId="10" xfId="4" applyFont="1" applyFill="1" applyBorder="1" applyAlignment="1">
      <alignment horizontal="left" indent="1"/>
    </xf>
    <xf numFmtId="0" fontId="5" fillId="0" borderId="10" xfId="4" applyFont="1" applyBorder="1" applyAlignment="1">
      <alignment horizontal="left" indent="1"/>
    </xf>
    <xf numFmtId="0" fontId="11" fillId="0" borderId="10" xfId="4" applyFont="1" applyBorder="1"/>
    <xf numFmtId="0" fontId="11" fillId="0" borderId="14" xfId="4" applyFont="1" applyBorder="1"/>
    <xf numFmtId="0" fontId="11" fillId="0" borderId="15" xfId="4" applyFont="1" applyBorder="1"/>
    <xf numFmtId="0" fontId="6" fillId="0" borderId="16" xfId="4" applyBorder="1"/>
    <xf numFmtId="0" fontId="5" fillId="0" borderId="10" xfId="4" applyFont="1" applyBorder="1"/>
    <xf numFmtId="0" fontId="11" fillId="3" borderId="10" xfId="4" applyFont="1" applyFill="1" applyBorder="1"/>
    <xf numFmtId="44" fontId="13" fillId="11" borderId="17" xfId="6" applyFont="1" applyFill="1" applyBorder="1" applyAlignment="1">
      <alignment horizontal="center" vertical="center" wrapText="1"/>
    </xf>
    <xf numFmtId="0" fontId="15" fillId="22" borderId="10" xfId="4" applyFont="1" applyFill="1" applyBorder="1" applyAlignment="1">
      <alignment horizontal="center" vertical="center"/>
    </xf>
    <xf numFmtId="0" fontId="5" fillId="17" borderId="18" xfId="4" applyFont="1" applyFill="1" applyBorder="1" applyAlignment="1">
      <alignment horizontal="left" vertical="center"/>
    </xf>
    <xf numFmtId="44" fontId="8" fillId="22" borderId="10" xfId="6" applyFont="1" applyFill="1" applyBorder="1" applyAlignment="1">
      <alignment horizontal="center" vertical="center"/>
    </xf>
    <xf numFmtId="0" fontId="2" fillId="17" borderId="10" xfId="4" applyFont="1" applyFill="1" applyBorder="1" applyAlignment="1">
      <alignment horizontal="center" vertical="center" wrapText="1"/>
    </xf>
    <xf numFmtId="44" fontId="2" fillId="17" borderId="10" xfId="6" applyFont="1" applyFill="1" applyBorder="1" applyAlignment="1">
      <alignment horizontal="center" vertical="center" wrapText="1"/>
    </xf>
    <xf numFmtId="0" fontId="8" fillId="17" borderId="17" xfId="4" applyFont="1" applyFill="1" applyBorder="1" applyAlignment="1">
      <alignment horizontal="center" vertical="center" wrapText="1"/>
    </xf>
    <xf numFmtId="0" fontId="8" fillId="0" borderId="10" xfId="4" applyFont="1" applyBorder="1" applyAlignment="1">
      <alignment horizontal="center"/>
    </xf>
    <xf numFmtId="44" fontId="5" fillId="0" borderId="10" xfId="6" applyFont="1" applyBorder="1" applyAlignment="1">
      <alignment horizontal="center"/>
    </xf>
    <xf numFmtId="0" fontId="5" fillId="22" borderId="10" xfId="4" applyFont="1" applyFill="1" applyBorder="1" applyAlignment="1">
      <alignment horizontal="left" indent="1"/>
    </xf>
    <xf numFmtId="0" fontId="16" fillId="0" borderId="10" xfId="4" applyFont="1" applyBorder="1" applyAlignment="1">
      <alignment horizontal="left" wrapText="1"/>
    </xf>
    <xf numFmtId="0" fontId="16" fillId="0" borderId="10" xfId="4" applyFont="1" applyBorder="1" applyAlignment="1">
      <alignment wrapText="1"/>
    </xf>
    <xf numFmtId="44" fontId="0" fillId="0" borderId="10" xfId="6" applyFont="1" applyBorder="1"/>
    <xf numFmtId="0" fontId="10" fillId="0" borderId="10" xfId="4" applyFont="1" applyBorder="1"/>
    <xf numFmtId="0" fontId="16" fillId="0" borderId="13" xfId="4" applyFont="1" applyBorder="1" applyAlignment="1">
      <alignment horizontal="left" wrapText="1"/>
    </xf>
    <xf numFmtId="0" fontId="16" fillId="0" borderId="13" xfId="4" applyFont="1" applyBorder="1" applyAlignment="1">
      <alignment wrapText="1"/>
    </xf>
    <xf numFmtId="44" fontId="15" fillId="11" borderId="10" xfId="6" applyFont="1" applyFill="1" applyBorder="1" applyAlignment="1">
      <alignment horizontal="center" vertical="center"/>
    </xf>
    <xf numFmtId="0" fontId="15" fillId="9" borderId="10" xfId="4" applyFont="1" applyFill="1" applyBorder="1" applyAlignment="1">
      <alignment horizontal="center" vertical="center"/>
    </xf>
    <xf numFmtId="44" fontId="8" fillId="9" borderId="10" xfId="6" applyFont="1" applyFill="1" applyBorder="1" applyAlignment="1">
      <alignment horizontal="center" vertical="center"/>
    </xf>
    <xf numFmtId="0" fontId="2" fillId="13" borderId="10" xfId="4" applyFont="1" applyFill="1" applyBorder="1" applyAlignment="1">
      <alignment horizontal="center" vertical="center" wrapText="1"/>
    </xf>
    <xf numFmtId="44" fontId="2" fillId="13" borderId="10" xfId="6" applyFont="1" applyFill="1" applyBorder="1" applyAlignment="1">
      <alignment horizontal="center" vertical="center" wrapText="1"/>
    </xf>
    <xf numFmtId="0" fontId="8" fillId="13" borderId="17" xfId="4" applyFont="1" applyFill="1" applyBorder="1" applyAlignment="1">
      <alignment horizontal="center" vertical="center" wrapText="1"/>
    </xf>
    <xf numFmtId="0" fontId="6" fillId="0" borderId="0" xfId="4" applyAlignment="1">
      <alignment horizontal="center"/>
    </xf>
    <xf numFmtId="0" fontId="5" fillId="9" borderId="10" xfId="4" applyFont="1" applyFill="1" applyBorder="1" applyAlignment="1">
      <alignment horizontal="left" indent="1"/>
    </xf>
    <xf numFmtId="44" fontId="13" fillId="11" borderId="10" xfId="6" applyFont="1" applyFill="1" applyBorder="1" applyAlignment="1">
      <alignment horizontal="center" vertical="center"/>
    </xf>
    <xf numFmtId="0" fontId="15" fillId="24" borderId="10" xfId="4" applyFont="1" applyFill="1" applyBorder="1" applyAlignment="1">
      <alignment horizontal="center" vertical="center"/>
    </xf>
    <xf numFmtId="44" fontId="8" fillId="24" borderId="10" xfId="6" applyFont="1" applyFill="1" applyBorder="1" applyAlignment="1">
      <alignment horizontal="center" vertical="center"/>
    </xf>
    <xf numFmtId="0" fontId="2" fillId="23" borderId="10" xfId="4" applyFont="1" applyFill="1" applyBorder="1" applyAlignment="1">
      <alignment horizontal="center" vertical="center" wrapText="1"/>
    </xf>
    <xf numFmtId="0" fontId="8" fillId="23" borderId="10" xfId="4" applyFont="1" applyFill="1" applyBorder="1" applyAlignment="1">
      <alignment horizontal="center" vertical="center" wrapText="1"/>
    </xf>
    <xf numFmtId="0" fontId="15" fillId="10" borderId="10" xfId="4" applyFont="1" applyFill="1" applyBorder="1" applyAlignment="1">
      <alignment horizontal="center" vertical="center"/>
    </xf>
    <xf numFmtId="44" fontId="8" fillId="10" borderId="10" xfId="6" applyFont="1" applyFill="1" applyBorder="1" applyAlignment="1">
      <alignment horizontal="center" vertical="center"/>
    </xf>
    <xf numFmtId="0" fontId="2" fillId="7" borderId="10" xfId="4" applyFont="1" applyFill="1" applyBorder="1" applyAlignment="1">
      <alignment horizontal="center" vertical="center" wrapText="1"/>
    </xf>
    <xf numFmtId="0" fontId="8" fillId="7" borderId="10" xfId="4" applyFont="1" applyFill="1" applyBorder="1" applyAlignment="1">
      <alignment horizontal="center" vertical="center" wrapText="1"/>
    </xf>
    <xf numFmtId="0" fontId="5" fillId="16" borderId="10" xfId="4" applyFont="1" applyFill="1" applyBorder="1" applyAlignment="1">
      <alignment horizontal="left" indent="1"/>
    </xf>
    <xf numFmtId="44" fontId="10" fillId="0" borderId="10" xfId="6" applyFont="1" applyBorder="1"/>
    <xf numFmtId="43" fontId="0" fillId="3" borderId="0" xfId="5" applyFont="1" applyFill="1"/>
    <xf numFmtId="0" fontId="19" fillId="12" borderId="11" xfId="4" applyFont="1" applyFill="1" applyBorder="1" applyAlignment="1">
      <alignment horizontal="center" vertical="center" wrapText="1"/>
    </xf>
    <xf numFmtId="0" fontId="19" fillId="12" borderId="21" xfId="4" applyFont="1" applyFill="1" applyBorder="1" applyAlignment="1">
      <alignment horizontal="center" vertical="center" wrapText="1"/>
    </xf>
    <xf numFmtId="9" fontId="0" fillId="3" borderId="10" xfId="8" applyFont="1" applyFill="1" applyBorder="1"/>
    <xf numFmtId="44" fontId="20" fillId="3" borderId="10" xfId="6" applyFont="1" applyFill="1" applyBorder="1" applyAlignment="1">
      <alignment horizontal="center" vertical="center" wrapText="1"/>
    </xf>
    <xf numFmtId="44" fontId="0" fillId="3" borderId="10" xfId="6" applyFont="1" applyFill="1" applyBorder="1"/>
    <xf numFmtId="43" fontId="5" fillId="3" borderId="10" xfId="5" applyFont="1" applyFill="1" applyBorder="1" applyAlignment="1">
      <alignment horizontal="left" indent="1"/>
    </xf>
    <xf numFmtId="0" fontId="6" fillId="0" borderId="0" xfId="4" quotePrefix="1"/>
    <xf numFmtId="43" fontId="5" fillId="16" borderId="10" xfId="5" applyFont="1" applyFill="1" applyBorder="1" applyAlignment="1">
      <alignment horizontal="left" indent="1"/>
    </xf>
    <xf numFmtId="0" fontId="8" fillId="0" borderId="11" xfId="4" applyFont="1" applyBorder="1" applyAlignment="1">
      <alignment horizontal="center"/>
    </xf>
    <xf numFmtId="0" fontId="8" fillId="0" borderId="0" xfId="4" applyFont="1" applyAlignment="1">
      <alignment horizontal="center"/>
    </xf>
    <xf numFmtId="44" fontId="0" fillId="0" borderId="0" xfId="6" applyFont="1"/>
    <xf numFmtId="0" fontId="22" fillId="25" borderId="0" xfId="4" applyFont="1" applyFill="1" applyAlignment="1">
      <alignment horizontal="left" vertical="top"/>
    </xf>
    <xf numFmtId="0" fontId="6" fillId="0" borderId="0" xfId="4" applyAlignment="1">
      <alignment vertical="top"/>
    </xf>
    <xf numFmtId="0" fontId="23" fillId="26" borderId="28" xfId="4" applyFont="1" applyFill="1" applyBorder="1" applyAlignment="1">
      <alignment vertical="center"/>
    </xf>
    <xf numFmtId="0" fontId="24" fillId="25" borderId="28" xfId="4" applyFont="1" applyFill="1" applyBorder="1" applyAlignment="1">
      <alignment horizontal="left" vertical="center" indent="1"/>
    </xf>
    <xf numFmtId="0" fontId="8" fillId="0" borderId="0" xfId="4" applyFont="1" applyAlignment="1">
      <alignment vertical="top"/>
    </xf>
    <xf numFmtId="0" fontId="8" fillId="0" borderId="0" xfId="4" applyFont="1" applyAlignment="1">
      <alignment horizontal="center" vertical="top"/>
    </xf>
    <xf numFmtId="44" fontId="18" fillId="0" borderId="29" xfId="6" applyFont="1" applyBorder="1" applyAlignment="1">
      <alignment horizontal="center" vertical="top"/>
    </xf>
    <xf numFmtId="0" fontId="18" fillId="0" borderId="30" xfId="4" applyFont="1" applyBorder="1" applyAlignment="1">
      <alignment vertical="top"/>
    </xf>
    <xf numFmtId="0" fontId="6" fillId="0" borderId="30" xfId="4" applyBorder="1" applyAlignment="1">
      <alignment vertical="top"/>
    </xf>
    <xf numFmtId="44" fontId="18" fillId="0" borderId="0" xfId="6" applyFont="1" applyBorder="1" applyAlignment="1">
      <alignment vertical="top"/>
    </xf>
    <xf numFmtId="44" fontId="18" fillId="0" borderId="30" xfId="6" applyFont="1" applyBorder="1" applyAlignment="1">
      <alignment vertical="top"/>
    </xf>
    <xf numFmtId="0" fontId="6" fillId="26" borderId="0" xfId="4" applyFill="1" applyAlignment="1">
      <alignment vertical="top"/>
    </xf>
    <xf numFmtId="0" fontId="8" fillId="6" borderId="10" xfId="4" applyFont="1" applyFill="1" applyBorder="1" applyAlignment="1">
      <alignment horizontal="center" vertical="top"/>
    </xf>
    <xf numFmtId="0" fontId="8" fillId="6" borderId="10" xfId="4" applyFont="1" applyFill="1" applyBorder="1" applyAlignment="1">
      <alignment horizontal="left" vertical="top"/>
    </xf>
    <xf numFmtId="0" fontId="15" fillId="6" borderId="10" xfId="4" applyFont="1" applyFill="1" applyBorder="1" applyAlignment="1">
      <alignment horizontal="center" vertical="top" wrapText="1"/>
    </xf>
    <xf numFmtId="0" fontId="8" fillId="0" borderId="10" xfId="4" applyFont="1" applyBorder="1" applyAlignment="1">
      <alignment vertical="center"/>
    </xf>
    <xf numFmtId="0" fontId="6" fillId="0" borderId="10" xfId="4" applyBorder="1" applyAlignment="1">
      <alignment horizontal="left" vertical="center" wrapText="1" indent="1"/>
    </xf>
    <xf numFmtId="0" fontId="3" fillId="0" borderId="10" xfId="4" applyFont="1" applyBorder="1" applyAlignment="1">
      <alignment horizontal="center" vertical="center" shrinkToFit="1"/>
    </xf>
    <xf numFmtId="44" fontId="3" fillId="0" borderId="10" xfId="6" applyFont="1" applyBorder="1" applyAlignment="1">
      <alignment horizontal="center" vertical="center" shrinkToFit="1"/>
    </xf>
    <xf numFmtId="0" fontId="6" fillId="0" borderId="13" xfId="4" applyBorder="1" applyAlignment="1">
      <alignment vertical="center"/>
    </xf>
    <xf numFmtId="0" fontId="6" fillId="0" borderId="13" xfId="4" applyBorder="1" applyAlignment="1">
      <alignment horizontal="left" vertical="center" wrapText="1" indent="1"/>
    </xf>
    <xf numFmtId="44" fontId="18" fillId="0" borderId="32" xfId="6" applyFont="1" applyBorder="1" applyAlignment="1">
      <alignment vertical="top"/>
    </xf>
    <xf numFmtId="44" fontId="18" fillId="6" borderId="29" xfId="6" applyFont="1" applyFill="1" applyBorder="1" applyAlignment="1">
      <alignment horizontal="center" vertical="top"/>
    </xf>
    <xf numFmtId="0" fontId="8" fillId="0" borderId="10" xfId="4" applyFont="1" applyBorder="1" applyAlignment="1">
      <alignment vertical="top"/>
    </xf>
    <xf numFmtId="0" fontId="6" fillId="0" borderId="10" xfId="4" applyBorder="1" applyAlignment="1">
      <alignment vertical="top" wrapText="1"/>
    </xf>
    <xf numFmtId="0" fontId="3" fillId="0" borderId="10" xfId="4" applyFont="1" applyBorder="1" applyAlignment="1">
      <alignment horizontal="center" vertical="top" shrinkToFit="1"/>
    </xf>
    <xf numFmtId="44" fontId="3" fillId="0" borderId="10" xfId="6" applyFont="1" applyBorder="1" applyAlignment="1">
      <alignment horizontal="center" vertical="top" shrinkToFit="1"/>
    </xf>
    <xf numFmtId="0" fontId="25" fillId="25" borderId="0" xfId="4" applyFont="1" applyFill="1"/>
    <xf numFmtId="0" fontId="8" fillId="0" borderId="0" xfId="4" applyFont="1"/>
    <xf numFmtId="0" fontId="8" fillId="6" borderId="10" xfId="4" applyFont="1" applyFill="1" applyBorder="1" applyAlignment="1">
      <alignment horizontal="center" vertical="top" wrapText="1"/>
    </xf>
    <xf numFmtId="0" fontId="6" fillId="0" borderId="33" xfId="4" applyBorder="1"/>
    <xf numFmtId="0" fontId="6" fillId="0" borderId="1" xfId="4" applyBorder="1"/>
    <xf numFmtId="0" fontId="6" fillId="0" borderId="34" xfId="4" applyBorder="1"/>
    <xf numFmtId="0" fontId="6" fillId="22" borderId="33" xfId="4" applyFill="1" applyBorder="1"/>
    <xf numFmtId="0" fontId="6" fillId="22" borderId="35" xfId="4" applyFill="1" applyBorder="1" applyAlignment="1">
      <alignment horizontal="center" wrapText="1"/>
    </xf>
    <xf numFmtId="0" fontId="6" fillId="22" borderId="35" xfId="4" applyFill="1" applyBorder="1" applyAlignment="1">
      <alignment horizontal="center"/>
    </xf>
    <xf numFmtId="0" fontId="6" fillId="0" borderId="36" xfId="4" quotePrefix="1" applyBorder="1"/>
    <xf numFmtId="0" fontId="6" fillId="0" borderId="37" xfId="4" quotePrefix="1" applyBorder="1"/>
    <xf numFmtId="0" fontId="6" fillId="0" borderId="33" xfId="4" quotePrefix="1" applyBorder="1"/>
    <xf numFmtId="0" fontId="6" fillId="0" borderId="33" xfId="4" quotePrefix="1" applyBorder="1" applyAlignment="1">
      <alignment horizontal="center"/>
    </xf>
    <xf numFmtId="9" fontId="0" fillId="0" borderId="38" xfId="8" applyFont="1" applyBorder="1"/>
    <xf numFmtId="0" fontId="6" fillId="0" borderId="37" xfId="4" applyBorder="1"/>
    <xf numFmtId="0" fontId="6" fillId="0" borderId="40" xfId="4" applyBorder="1"/>
    <xf numFmtId="0" fontId="6" fillId="0" borderId="33" xfId="4" applyBorder="1" applyAlignment="1">
      <alignment horizontal="center"/>
    </xf>
    <xf numFmtId="44" fontId="0" fillId="3" borderId="33" xfId="6" applyFont="1" applyFill="1" applyBorder="1" applyAlignment="1">
      <alignment horizontal="center"/>
    </xf>
    <xf numFmtId="44" fontId="0" fillId="6" borderId="33" xfId="6" applyFont="1" applyFill="1" applyBorder="1" applyAlignment="1">
      <alignment horizontal="center"/>
    </xf>
    <xf numFmtId="44" fontId="0" fillId="6" borderId="2" xfId="6" applyFont="1" applyFill="1" applyBorder="1" applyAlignment="1">
      <alignment horizontal="center"/>
    </xf>
    <xf numFmtId="0" fontId="6" fillId="0" borderId="40" xfId="4" applyBorder="1" applyAlignment="1">
      <alignment horizontal="center"/>
    </xf>
    <xf numFmtId="44" fontId="0" fillId="3" borderId="40" xfId="6" applyFont="1" applyFill="1" applyBorder="1" applyAlignment="1">
      <alignment horizontal="center"/>
    </xf>
    <xf numFmtId="44" fontId="0" fillId="6" borderId="40" xfId="6" applyFont="1" applyFill="1" applyBorder="1" applyAlignment="1">
      <alignment horizontal="center"/>
    </xf>
    <xf numFmtId="44" fontId="0" fillId="6" borderId="4" xfId="6" applyFont="1" applyFill="1" applyBorder="1" applyAlignment="1">
      <alignment horizontal="center"/>
    </xf>
    <xf numFmtId="0" fontId="6" fillId="0" borderId="41" xfId="4" applyBorder="1" applyAlignment="1">
      <alignment horizontal="center"/>
    </xf>
    <xf numFmtId="44" fontId="0" fillId="3" borderId="41" xfId="6" applyFont="1" applyFill="1" applyBorder="1" applyAlignment="1">
      <alignment horizontal="center"/>
    </xf>
    <xf numFmtId="44" fontId="0" fillId="6" borderId="41" xfId="6" applyFont="1" applyFill="1" applyBorder="1" applyAlignment="1">
      <alignment horizontal="center"/>
    </xf>
    <xf numFmtId="44" fontId="0" fillId="6" borderId="6" xfId="6" applyFont="1" applyFill="1" applyBorder="1" applyAlignment="1">
      <alignment horizontal="center"/>
    </xf>
    <xf numFmtId="0" fontId="6" fillId="0" borderId="42" xfId="4" applyBorder="1"/>
    <xf numFmtId="0" fontId="6" fillId="0" borderId="38" xfId="4" applyBorder="1"/>
    <xf numFmtId="0" fontId="6" fillId="0" borderId="41" xfId="4" applyBorder="1"/>
    <xf numFmtId="0" fontId="6" fillId="0" borderId="43" xfId="4" applyBorder="1"/>
    <xf numFmtId="44" fontId="0" fillId="0" borderId="40" xfId="6" applyFont="1" applyBorder="1" applyAlignment="1">
      <alignment horizontal="center"/>
    </xf>
    <xf numFmtId="44" fontId="0" fillId="0" borderId="4" xfId="6" applyFont="1" applyBorder="1" applyAlignment="1">
      <alignment horizontal="center"/>
    </xf>
    <xf numFmtId="44" fontId="0" fillId="0" borderId="41" xfId="6" applyFont="1" applyBorder="1" applyAlignment="1">
      <alignment horizontal="center"/>
    </xf>
    <xf numFmtId="44" fontId="0" fillId="0" borderId="6" xfId="6" applyFont="1" applyBorder="1" applyAlignment="1">
      <alignment horizontal="center"/>
    </xf>
    <xf numFmtId="9" fontId="6" fillId="3" borderId="10" xfId="4" applyNumberFormat="1" applyFill="1" applyBorder="1"/>
    <xf numFmtId="9" fontId="0" fillId="0" borderId="43" xfId="8" applyFont="1" applyBorder="1"/>
    <xf numFmtId="0" fontId="1" fillId="14" borderId="10" xfId="7" applyFill="1" applyBorder="1" applyAlignment="1">
      <alignment horizontal="center" wrapText="1"/>
    </xf>
    <xf numFmtId="0" fontId="1" fillId="14" borderId="10" xfId="7" applyFill="1" applyBorder="1" applyAlignment="1">
      <alignment wrapText="1"/>
    </xf>
    <xf numFmtId="0" fontId="1" fillId="0" borderId="0" xfId="7" applyAlignment="1">
      <alignment wrapText="1"/>
    </xf>
    <xf numFmtId="0" fontId="1" fillId="0" borderId="10" xfId="7" applyBorder="1"/>
    <xf numFmtId="0" fontId="1" fillId="0" borderId="0" xfId="7"/>
    <xf numFmtId="0" fontId="27" fillId="0" borderId="0" xfId="9"/>
    <xf numFmtId="0" fontId="28" fillId="0" borderId="0" xfId="9" applyFont="1"/>
    <xf numFmtId="0" fontId="29" fillId="0" borderId="44" xfId="9" applyFont="1" applyBorder="1" applyAlignment="1">
      <alignment horizontal="center"/>
    </xf>
    <xf numFmtId="0" fontId="29" fillId="0" borderId="45" xfId="9" applyFont="1" applyBorder="1"/>
    <xf numFmtId="0" fontId="27" fillId="20" borderId="46" xfId="9" applyFill="1" applyBorder="1"/>
    <xf numFmtId="0" fontId="27" fillId="20" borderId="47" xfId="9" applyFill="1" applyBorder="1"/>
    <xf numFmtId="0" fontId="27" fillId="2" borderId="4" xfId="9" applyFill="1" applyBorder="1" applyAlignment="1">
      <alignment horizontal="left" wrapText="1"/>
    </xf>
    <xf numFmtId="0" fontId="27" fillId="2" borderId="0" xfId="9" applyFill="1" applyAlignment="1">
      <alignment horizontal="left" wrapText="1"/>
    </xf>
    <xf numFmtId="0" fontId="26" fillId="0" borderId="45" xfId="9" applyFont="1" applyBorder="1"/>
    <xf numFmtId="0" fontId="27" fillId="20" borderId="53" xfId="9" applyFill="1" applyBorder="1"/>
    <xf numFmtId="0" fontId="27" fillId="20" borderId="54" xfId="9" applyFill="1" applyBorder="1"/>
    <xf numFmtId="0" fontId="32" fillId="26" borderId="9" xfId="9" applyFont="1" applyFill="1" applyBorder="1" applyAlignment="1">
      <alignment horizontal="left"/>
    </xf>
    <xf numFmtId="0" fontId="29" fillId="0" borderId="3" xfId="9" applyFont="1" applyBorder="1" applyAlignment="1">
      <alignment horizontal="center" vertical="center"/>
    </xf>
    <xf numFmtId="0" fontId="29" fillId="0" borderId="3" xfId="9" applyFont="1" applyBorder="1" applyAlignment="1">
      <alignment horizontal="center"/>
    </xf>
    <xf numFmtId="0" fontId="27" fillId="0" borderId="35" xfId="9" applyBorder="1"/>
    <xf numFmtId="0" fontId="28" fillId="0" borderId="35" xfId="9" applyFont="1" applyBorder="1"/>
    <xf numFmtId="0" fontId="29" fillId="0" borderId="1" xfId="9" applyFont="1" applyBorder="1"/>
    <xf numFmtId="0" fontId="27" fillId="20" borderId="56" xfId="9" applyFill="1" applyBorder="1"/>
    <xf numFmtId="0" fontId="27" fillId="20" borderId="57" xfId="9" applyFill="1" applyBorder="1"/>
    <xf numFmtId="0" fontId="28" fillId="0" borderId="0" xfId="9" applyFont="1" applyAlignment="1">
      <alignment wrapText="1"/>
    </xf>
    <xf numFmtId="0" fontId="29" fillId="0" borderId="3" xfId="9" applyFont="1" applyBorder="1" applyAlignment="1">
      <alignment horizontal="left" indent="1"/>
    </xf>
    <xf numFmtId="0" fontId="29" fillId="0" borderId="1" xfId="9" applyFont="1" applyBorder="1" applyAlignment="1">
      <alignment horizontal="left" indent="1"/>
    </xf>
    <xf numFmtId="0" fontId="29" fillId="0" borderId="5" xfId="9" applyFont="1" applyBorder="1" applyAlignment="1">
      <alignment horizontal="left" indent="1"/>
    </xf>
    <xf numFmtId="10" fontId="0" fillId="0" borderId="0" xfId="10" applyNumberFormat="1" applyFont="1" applyAlignment="1">
      <alignment horizontal="center"/>
    </xf>
    <xf numFmtId="164" fontId="27" fillId="0" borderId="0" xfId="9" applyNumberFormat="1"/>
    <xf numFmtId="0" fontId="27" fillId="0" borderId="0" xfId="9" applyAlignment="1">
      <alignment horizontal="center"/>
    </xf>
    <xf numFmtId="9" fontId="27" fillId="20" borderId="47" xfId="10" applyFont="1" applyFill="1" applyBorder="1" applyAlignment="1">
      <alignment horizontal="center" vertical="center"/>
    </xf>
    <xf numFmtId="9" fontId="0" fillId="20" borderId="54" xfId="10" applyFont="1" applyFill="1" applyBorder="1" applyAlignment="1">
      <alignment horizontal="center" vertical="center"/>
    </xf>
    <xf numFmtId="0" fontId="28" fillId="0" borderId="3" xfId="9" applyFont="1" applyBorder="1" applyAlignment="1">
      <alignment horizontal="left" indent="3"/>
    </xf>
    <xf numFmtId="9" fontId="27" fillId="20" borderId="57" xfId="10" applyFont="1" applyFill="1" applyBorder="1" applyAlignment="1">
      <alignment horizontal="center" vertical="center"/>
    </xf>
    <xf numFmtId="0" fontId="30" fillId="0" borderId="0" xfId="9" applyFont="1"/>
    <xf numFmtId="9" fontId="30" fillId="0" borderId="0" xfId="10" applyFont="1" applyAlignment="1">
      <alignment horizontal="center" vertical="center"/>
    </xf>
    <xf numFmtId="9" fontId="0" fillId="0" borderId="0" xfId="10" applyFont="1" applyAlignment="1">
      <alignment horizontal="center" vertical="center"/>
    </xf>
    <xf numFmtId="0" fontId="27" fillId="20" borderId="61" xfId="9" applyFill="1" applyBorder="1"/>
    <xf numFmtId="0" fontId="27" fillId="20" borderId="62" xfId="9" applyFill="1" applyBorder="1"/>
    <xf numFmtId="0" fontId="28" fillId="0" borderId="7" xfId="9" applyFont="1" applyBorder="1"/>
    <xf numFmtId="43" fontId="0" fillId="0" borderId="0" xfId="12" applyFont="1"/>
    <xf numFmtId="0" fontId="29" fillId="0" borderId="5" xfId="9" applyFont="1" applyBorder="1" applyAlignment="1">
      <alignment horizontal="left" vertical="center" indent="1"/>
    </xf>
    <xf numFmtId="0" fontId="29" fillId="0" borderId="3" xfId="9" applyFont="1" applyBorder="1" applyAlignment="1">
      <alignment horizontal="left" vertical="center" indent="1"/>
    </xf>
    <xf numFmtId="43" fontId="27" fillId="0" borderId="0" xfId="12" applyFont="1"/>
    <xf numFmtId="0" fontId="27" fillId="20" borderId="9" xfId="9" applyFill="1" applyBorder="1"/>
    <xf numFmtId="0" fontId="27" fillId="20" borderId="7" xfId="9" applyFill="1" applyBorder="1"/>
    <xf numFmtId="0" fontId="29" fillId="0" borderId="5" xfId="9" applyFont="1" applyBorder="1"/>
    <xf numFmtId="0" fontId="30" fillId="0" borderId="44" xfId="9" applyFont="1" applyBorder="1"/>
    <xf numFmtId="9" fontId="30" fillId="20" borderId="48" xfId="10" applyFont="1" applyFill="1" applyBorder="1" applyAlignment="1">
      <alignment horizontal="left" vertical="center" indent="2"/>
    </xf>
    <xf numFmtId="0" fontId="27" fillId="20" borderId="38" xfId="9" applyFill="1" applyBorder="1" applyAlignment="1">
      <alignment horizontal="left" indent="2"/>
    </xf>
    <xf numFmtId="9" fontId="0" fillId="20" borderId="38" xfId="10" applyFont="1" applyFill="1" applyBorder="1" applyAlignment="1">
      <alignment horizontal="left" indent="2"/>
    </xf>
    <xf numFmtId="9" fontId="0" fillId="20" borderId="34" xfId="10" applyFont="1" applyFill="1" applyBorder="1" applyAlignment="1">
      <alignment horizontal="left" vertical="center" indent="2"/>
    </xf>
    <xf numFmtId="0" fontId="28" fillId="0" borderId="63" xfId="9" applyFont="1" applyBorder="1"/>
    <xf numFmtId="0" fontId="28" fillId="0" borderId="64" xfId="9" applyFont="1" applyBorder="1"/>
    <xf numFmtId="0" fontId="29" fillId="0" borderId="64" xfId="9" applyFont="1" applyBorder="1" applyAlignment="1">
      <alignment horizontal="center" vertical="center"/>
    </xf>
    <xf numFmtId="0" fontId="29" fillId="0" borderId="52" xfId="9" applyFont="1" applyBorder="1" applyAlignment="1">
      <alignment horizontal="center" vertical="center"/>
    </xf>
    <xf numFmtId="0" fontId="27" fillId="0" borderId="10" xfId="9" applyBorder="1"/>
    <xf numFmtId="0" fontId="27" fillId="7" borderId="10" xfId="9" applyFill="1" applyBorder="1"/>
    <xf numFmtId="0" fontId="27" fillId="29" borderId="10" xfId="9" applyFill="1" applyBorder="1"/>
    <xf numFmtId="0" fontId="29" fillId="0" borderId="45" xfId="9" applyFont="1" applyBorder="1" applyAlignment="1">
      <alignment horizontal="left" indent="2"/>
    </xf>
    <xf numFmtId="0" fontId="28" fillId="0" borderId="45" xfId="9" applyFont="1" applyBorder="1" applyAlignment="1">
      <alignment horizontal="center"/>
    </xf>
    <xf numFmtId="0" fontId="27" fillId="20" borderId="10" xfId="9" applyFill="1" applyBorder="1"/>
    <xf numFmtId="0" fontId="29" fillId="0" borderId="35" xfId="9" applyFont="1" applyBorder="1" applyAlignment="1">
      <alignment horizontal="left" indent="2"/>
    </xf>
    <xf numFmtId="0" fontId="41" fillId="0" borderId="35" xfId="9" applyFont="1" applyBorder="1" applyAlignment="1">
      <alignment horizontal="center"/>
    </xf>
    <xf numFmtId="0" fontId="27" fillId="0" borderId="10" xfId="9" quotePrefix="1" applyBorder="1"/>
    <xf numFmtId="0" fontId="43" fillId="0" borderId="7" xfId="9" applyFont="1" applyBorder="1" applyAlignment="1">
      <alignment horizontal="center" vertical="center"/>
    </xf>
    <xf numFmtId="0" fontId="29" fillId="0" borderId="7" xfId="9" applyFont="1" applyBorder="1" applyAlignment="1">
      <alignment vertical="center"/>
    </xf>
    <xf numFmtId="0" fontId="26" fillId="0" borderId="10" xfId="9" applyFont="1" applyBorder="1"/>
    <xf numFmtId="0" fontId="45" fillId="31" borderId="0" xfId="9" applyFont="1" applyFill="1" applyAlignment="1">
      <alignment horizontal="right" vertical="center"/>
    </xf>
    <xf numFmtId="164" fontId="36" fillId="0" borderId="10" xfId="9" applyNumberFormat="1" applyFont="1" applyBorder="1" applyAlignment="1">
      <alignment horizontal="center" vertical="center" shrinkToFit="1"/>
    </xf>
    <xf numFmtId="164" fontId="39" fillId="27" borderId="10" xfId="9" applyNumberFormat="1" applyFont="1" applyFill="1" applyBorder="1" applyAlignment="1">
      <alignment horizontal="center" vertical="center" shrinkToFit="1"/>
    </xf>
    <xf numFmtId="6" fontId="5" fillId="3" borderId="10" xfId="9" applyNumberFormat="1" applyFont="1" applyFill="1" applyBorder="1" applyAlignment="1">
      <alignment horizontal="center" vertical="center" wrapText="1"/>
    </xf>
    <xf numFmtId="168" fontId="5" fillId="3" borderId="10" xfId="9" applyNumberFormat="1" applyFont="1" applyFill="1" applyBorder="1" applyAlignment="1">
      <alignment horizontal="center" vertical="center" wrapText="1"/>
    </xf>
    <xf numFmtId="0" fontId="27" fillId="3" borderId="10" xfId="9" applyFill="1" applyBorder="1" applyAlignment="1">
      <alignment horizontal="center" vertical="center" wrapText="1"/>
    </xf>
    <xf numFmtId="3" fontId="0" fillId="3" borderId="10" xfId="12" applyNumberFormat="1" applyFont="1" applyFill="1" applyBorder="1" applyAlignment="1">
      <alignment horizontal="center" vertical="center" wrapText="1"/>
    </xf>
    <xf numFmtId="0" fontId="27" fillId="7" borderId="10" xfId="9" applyFill="1" applyBorder="1" applyAlignment="1">
      <alignment horizontal="center" vertical="center" wrapText="1"/>
    </xf>
    <xf numFmtId="3" fontId="0" fillId="7" borderId="10" xfId="12" applyNumberFormat="1" applyFont="1" applyFill="1" applyBorder="1" applyAlignment="1">
      <alignment horizontal="center" vertical="center" wrapText="1"/>
    </xf>
    <xf numFmtId="0" fontId="27" fillId="20" borderId="10" xfId="9" applyFill="1" applyBorder="1" applyAlignment="1">
      <alignment horizontal="center" vertical="center" wrapText="1"/>
    </xf>
    <xf numFmtId="3" fontId="0" fillId="20" borderId="10" xfId="12" applyNumberFormat="1" applyFont="1" applyFill="1" applyBorder="1" applyAlignment="1">
      <alignment horizontal="center" vertical="center" wrapText="1"/>
    </xf>
    <xf numFmtId="6" fontId="27" fillId="3" borderId="10" xfId="9" applyNumberFormat="1" applyFill="1" applyBorder="1" applyAlignment="1">
      <alignment horizontal="center" vertical="center" wrapText="1"/>
    </xf>
    <xf numFmtId="168" fontId="27" fillId="3" borderId="10" xfId="9" applyNumberFormat="1" applyFill="1" applyBorder="1" applyAlignment="1">
      <alignment horizontal="center" vertical="center" wrapText="1"/>
    </xf>
    <xf numFmtId="165" fontId="27" fillId="0" borderId="0" xfId="9" applyNumberFormat="1"/>
    <xf numFmtId="0" fontId="26" fillId="0" borderId="0" xfId="9" applyFont="1" applyAlignment="1">
      <alignment horizontal="center"/>
    </xf>
    <xf numFmtId="44" fontId="27" fillId="0" borderId="0" xfId="9" applyNumberFormat="1"/>
    <xf numFmtId="169" fontId="0" fillId="0" borderId="0" xfId="10" applyNumberFormat="1" applyFont="1"/>
    <xf numFmtId="0" fontId="27" fillId="6" borderId="65" xfId="9" applyFill="1" applyBorder="1"/>
    <xf numFmtId="170" fontId="27" fillId="0" borderId="0" xfId="9" applyNumberFormat="1"/>
    <xf numFmtId="44" fontId="43" fillId="7" borderId="62" xfId="9" applyNumberFormat="1" applyFont="1" applyFill="1" applyBorder="1" applyAlignment="1">
      <alignment vertical="center" wrapText="1"/>
    </xf>
    <xf numFmtId="0" fontId="27" fillId="0" borderId="24" xfId="9" applyBorder="1"/>
    <xf numFmtId="0" fontId="27" fillId="0" borderId="11" xfId="9" applyBorder="1"/>
    <xf numFmtId="44" fontId="43" fillId="7" borderId="61" xfId="9" applyNumberFormat="1" applyFont="1" applyFill="1" applyBorder="1" applyAlignment="1">
      <alignment vertical="center" wrapText="1"/>
    </xf>
    <xf numFmtId="44" fontId="43" fillId="7" borderId="65" xfId="9" applyNumberFormat="1" applyFont="1" applyFill="1" applyBorder="1" applyAlignment="1">
      <alignment vertical="center" wrapText="1"/>
    </xf>
    <xf numFmtId="44" fontId="43" fillId="7" borderId="68" xfId="9" applyNumberFormat="1" applyFont="1" applyFill="1" applyBorder="1" applyAlignment="1">
      <alignment vertical="center" wrapText="1"/>
    </xf>
    <xf numFmtId="44" fontId="43" fillId="7" borderId="69" xfId="9" applyNumberFormat="1" applyFont="1" applyFill="1" applyBorder="1" applyAlignment="1">
      <alignment vertical="center" wrapText="1"/>
    </xf>
    <xf numFmtId="0" fontId="27" fillId="6" borderId="24" xfId="9" applyFill="1" applyBorder="1"/>
    <xf numFmtId="0" fontId="3" fillId="2" borderId="10" xfId="13" applyFill="1" applyBorder="1" applyAlignment="1">
      <alignment horizontal="left" vertical="center" wrapText="1" indent="3"/>
    </xf>
    <xf numFmtId="0" fontId="5" fillId="22" borderId="10" xfId="13" applyFont="1" applyFill="1" applyBorder="1" applyAlignment="1">
      <alignment horizontal="center" vertical="center" wrapText="1"/>
    </xf>
    <xf numFmtId="44" fontId="43" fillId="2" borderId="35" xfId="9" applyNumberFormat="1" applyFont="1" applyFill="1" applyBorder="1" applyAlignment="1">
      <alignment vertical="center" wrapText="1"/>
    </xf>
    <xf numFmtId="0" fontId="26" fillId="2" borderId="35" xfId="9" applyFont="1" applyFill="1" applyBorder="1" applyAlignment="1">
      <alignment horizontal="left" vertical="center" wrapText="1" indent="1"/>
    </xf>
    <xf numFmtId="44" fontId="43" fillId="32" borderId="61" xfId="9" applyNumberFormat="1" applyFont="1" applyFill="1" applyBorder="1" applyAlignment="1">
      <alignment vertical="center" wrapText="1"/>
    </xf>
    <xf numFmtId="44" fontId="43" fillId="32" borderId="62" xfId="9" applyNumberFormat="1" applyFont="1" applyFill="1" applyBorder="1" applyAlignment="1">
      <alignment vertical="center" wrapText="1"/>
    </xf>
    <xf numFmtId="44" fontId="43" fillId="32" borderId="69" xfId="9" applyNumberFormat="1" applyFont="1" applyFill="1" applyBorder="1" applyAlignment="1">
      <alignment vertical="center" wrapText="1"/>
    </xf>
    <xf numFmtId="44" fontId="43" fillId="32" borderId="44" xfId="9" applyNumberFormat="1" applyFont="1" applyFill="1" applyBorder="1" applyAlignment="1">
      <alignment vertical="center" wrapText="1"/>
    </xf>
    <xf numFmtId="44" fontId="43" fillId="7" borderId="44" xfId="9" applyNumberFormat="1" applyFont="1" applyFill="1" applyBorder="1" applyAlignment="1">
      <alignment vertical="center" wrapText="1"/>
    </xf>
    <xf numFmtId="44" fontId="43" fillId="7" borderId="7" xfId="9" applyNumberFormat="1" applyFont="1" applyFill="1" applyBorder="1" applyAlignment="1">
      <alignment vertical="center" wrapText="1"/>
    </xf>
    <xf numFmtId="44" fontId="43" fillId="32" borderId="7" xfId="9" applyNumberFormat="1" applyFont="1" applyFill="1" applyBorder="1" applyAlignment="1">
      <alignment vertical="center" wrapText="1"/>
    </xf>
    <xf numFmtId="44" fontId="27" fillId="17" borderId="72" xfId="9" applyNumberFormat="1" applyFill="1" applyBorder="1" applyAlignment="1">
      <alignment vertical="center" wrapText="1"/>
    </xf>
    <xf numFmtId="44" fontId="27" fillId="17" borderId="70" xfId="9" applyNumberFormat="1" applyFill="1" applyBorder="1" applyAlignment="1">
      <alignment vertical="center" wrapText="1"/>
    </xf>
    <xf numFmtId="44" fontId="27" fillId="17" borderId="73" xfId="9" applyNumberFormat="1" applyFill="1" applyBorder="1" applyAlignment="1">
      <alignment vertical="center" wrapText="1"/>
    </xf>
    <xf numFmtId="44" fontId="27" fillId="33" borderId="73" xfId="9" applyNumberFormat="1" applyFill="1" applyBorder="1" applyAlignment="1">
      <alignment vertical="center" wrapText="1"/>
    </xf>
    <xf numFmtId="44" fontId="27" fillId="33" borderId="70" xfId="9" applyNumberFormat="1" applyFill="1" applyBorder="1" applyAlignment="1">
      <alignment vertical="center" wrapText="1"/>
    </xf>
    <xf numFmtId="44" fontId="27" fillId="17" borderId="60" xfId="9" applyNumberFormat="1" applyFill="1" applyBorder="1" applyAlignment="1">
      <alignment vertical="center" wrapText="1"/>
    </xf>
    <xf numFmtId="0" fontId="27" fillId="0" borderId="19" xfId="9" applyBorder="1"/>
    <xf numFmtId="44" fontId="27" fillId="17" borderId="53" xfId="9" applyNumberFormat="1" applyFill="1" applyBorder="1" applyAlignment="1">
      <alignment vertical="center" wrapText="1"/>
    </xf>
    <xf numFmtId="44" fontId="27" fillId="33" borderId="54" xfId="9" applyNumberFormat="1" applyFill="1" applyBorder="1" applyAlignment="1">
      <alignment vertical="center" wrapText="1"/>
    </xf>
    <xf numFmtId="44" fontId="27" fillId="17" borderId="22" xfId="9" applyNumberFormat="1" applyFill="1" applyBorder="1" applyAlignment="1">
      <alignment vertical="center" wrapText="1"/>
    </xf>
    <xf numFmtId="44" fontId="27" fillId="33" borderId="22" xfId="9" applyNumberFormat="1" applyFill="1" applyBorder="1" applyAlignment="1">
      <alignment vertical="center" wrapText="1"/>
    </xf>
    <xf numFmtId="44" fontId="27" fillId="17" borderId="11" xfId="9" applyNumberFormat="1" applyFill="1" applyBorder="1" applyAlignment="1">
      <alignment vertical="center" wrapText="1"/>
    </xf>
    <xf numFmtId="44" fontId="27" fillId="17" borderId="54" xfId="9" applyNumberFormat="1" applyFill="1" applyBorder="1" applyAlignment="1">
      <alignment vertical="center" wrapText="1"/>
    </xf>
    <xf numFmtId="44" fontId="26" fillId="6" borderId="61" xfId="9" applyNumberFormat="1" applyFont="1" applyFill="1" applyBorder="1" applyAlignment="1">
      <alignment vertical="center" wrapText="1"/>
    </xf>
    <xf numFmtId="44" fontId="26" fillId="6" borderId="62" xfId="9" applyNumberFormat="1" applyFont="1" applyFill="1" applyBorder="1" applyAlignment="1">
      <alignment vertical="center" wrapText="1"/>
    </xf>
    <xf numFmtId="44" fontId="26" fillId="6" borderId="69" xfId="9" applyNumberFormat="1" applyFont="1" applyFill="1" applyBorder="1" applyAlignment="1">
      <alignment vertical="center" wrapText="1"/>
    </xf>
    <xf numFmtId="44" fontId="26" fillId="6" borderId="65" xfId="9" applyNumberFormat="1" applyFont="1" applyFill="1" applyBorder="1" applyAlignment="1">
      <alignment vertical="center" wrapText="1"/>
    </xf>
    <xf numFmtId="44" fontId="27" fillId="0" borderId="53" xfId="9" applyNumberFormat="1" applyBorder="1" applyAlignment="1">
      <alignment vertical="center" wrapText="1"/>
    </xf>
    <xf numFmtId="44" fontId="27" fillId="0" borderId="54" xfId="9" applyNumberFormat="1" applyBorder="1" applyAlignment="1">
      <alignment vertical="center" wrapText="1"/>
    </xf>
    <xf numFmtId="44" fontId="27" fillId="0" borderId="22" xfId="9" applyNumberFormat="1" applyBorder="1" applyAlignment="1">
      <alignment vertical="center" wrapText="1"/>
    </xf>
    <xf numFmtId="44" fontId="27" fillId="0" borderId="11" xfId="9" applyNumberFormat="1" applyBorder="1" applyAlignment="1">
      <alignment vertical="center" wrapText="1"/>
    </xf>
    <xf numFmtId="44" fontId="0" fillId="0" borderId="11" xfId="14" applyFont="1" applyBorder="1"/>
    <xf numFmtId="44" fontId="27" fillId="0" borderId="11" xfId="14" applyFont="1" applyBorder="1"/>
    <xf numFmtId="44" fontId="27" fillId="0" borderId="19" xfId="14" applyFont="1" applyBorder="1"/>
    <xf numFmtId="0" fontId="26" fillId="0" borderId="19" xfId="9" applyFont="1" applyBorder="1"/>
    <xf numFmtId="44" fontId="27" fillId="2" borderId="53" xfId="9" applyNumberFormat="1" applyFill="1" applyBorder="1" applyAlignment="1">
      <alignment vertical="center" wrapText="1"/>
    </xf>
    <xf numFmtId="44" fontId="27" fillId="2" borderId="22" xfId="9" applyNumberFormat="1" applyFill="1" applyBorder="1" applyAlignment="1">
      <alignment vertical="center" wrapText="1"/>
    </xf>
    <xf numFmtId="44" fontId="27" fillId="2" borderId="54" xfId="9" applyNumberFormat="1" applyFill="1" applyBorder="1" applyAlignment="1">
      <alignment vertical="center" wrapText="1"/>
    </xf>
    <xf numFmtId="44" fontId="27" fillId="2" borderId="11" xfId="9" applyNumberFormat="1" applyFill="1" applyBorder="1" applyAlignment="1">
      <alignment vertical="center" wrapText="1"/>
    </xf>
    <xf numFmtId="0" fontId="26" fillId="0" borderId="14" xfId="9" applyFont="1" applyBorder="1"/>
    <xf numFmtId="169" fontId="27" fillId="0" borderId="10" xfId="10" applyNumberFormat="1" applyFont="1" applyBorder="1" applyAlignment="1">
      <alignment vertical="center"/>
    </xf>
    <xf numFmtId="0" fontId="26" fillId="0" borderId="10" xfId="9" applyFont="1" applyBorder="1" applyAlignment="1">
      <alignment horizontal="left" vertical="center" indent="1"/>
    </xf>
    <xf numFmtId="0" fontId="26" fillId="0" borderId="24" xfId="9" applyFont="1" applyBorder="1"/>
    <xf numFmtId="44" fontId="27" fillId="6" borderId="72" xfId="9" applyNumberFormat="1" applyFill="1" applyBorder="1" applyAlignment="1">
      <alignment horizontal="center" vertical="center" wrapText="1"/>
    </xf>
    <xf numFmtId="44" fontId="27" fillId="6" borderId="70" xfId="9" applyNumberFormat="1" applyFill="1" applyBorder="1" applyAlignment="1">
      <alignment horizontal="center" vertical="center" wrapText="1"/>
    </xf>
    <xf numFmtId="44" fontId="27" fillId="6" borderId="73" xfId="9" applyNumberFormat="1" applyFill="1" applyBorder="1" applyAlignment="1">
      <alignment horizontal="center" vertical="center" wrapText="1"/>
    </xf>
    <xf numFmtId="44" fontId="27" fillId="6" borderId="60" xfId="9" applyNumberFormat="1" applyFill="1" applyBorder="1" applyAlignment="1">
      <alignment horizontal="center" vertical="center" wrapText="1"/>
    </xf>
    <xf numFmtId="0" fontId="26" fillId="0" borderId="68" xfId="9" applyFont="1" applyBorder="1" applyAlignment="1">
      <alignment horizontal="center" vertical="center"/>
    </xf>
    <xf numFmtId="0" fontId="26" fillId="0" borderId="69" xfId="9" applyFont="1" applyBorder="1" applyAlignment="1">
      <alignment horizontal="left" vertical="center" indent="1"/>
    </xf>
    <xf numFmtId="0" fontId="26" fillId="0" borderId="62" xfId="9" applyFont="1" applyBorder="1" applyAlignment="1">
      <alignment horizontal="left" vertical="center" indent="1"/>
    </xf>
    <xf numFmtId="0" fontId="27" fillId="0" borderId="0" xfId="9" applyAlignment="1">
      <alignment vertical="center"/>
    </xf>
    <xf numFmtId="165" fontId="27" fillId="0" borderId="0" xfId="9" applyNumberFormat="1" applyAlignment="1">
      <alignment vertical="center"/>
    </xf>
    <xf numFmtId="44" fontId="26" fillId="6" borderId="72" xfId="9" applyNumberFormat="1" applyFont="1" applyFill="1" applyBorder="1" applyAlignment="1">
      <alignment horizontal="center" vertical="center" wrapText="1"/>
    </xf>
    <xf numFmtId="44" fontId="26" fillId="6" borderId="70" xfId="9" applyNumberFormat="1" applyFont="1" applyFill="1" applyBorder="1" applyAlignment="1">
      <alignment horizontal="center" vertical="center" wrapText="1"/>
    </xf>
    <xf numFmtId="44" fontId="26" fillId="6" borderId="73" xfId="9" applyNumberFormat="1" applyFont="1" applyFill="1" applyBorder="1" applyAlignment="1">
      <alignment horizontal="center" vertical="center" wrapText="1"/>
    </xf>
    <xf numFmtId="44" fontId="26" fillId="6" borderId="60" xfId="9" applyNumberFormat="1" applyFont="1" applyFill="1" applyBorder="1" applyAlignment="1">
      <alignment horizontal="center" vertical="center" wrapText="1"/>
    </xf>
    <xf numFmtId="0" fontId="48" fillId="0" borderId="4" xfId="15" applyFont="1" applyBorder="1" applyAlignment="1">
      <alignment horizontal="center" vertical="center" shrinkToFit="1"/>
    </xf>
    <xf numFmtId="0" fontId="48" fillId="0" borderId="0" xfId="15" applyFont="1" applyAlignment="1">
      <alignment horizontal="center" vertical="center" shrinkToFit="1"/>
    </xf>
    <xf numFmtId="0" fontId="43" fillId="0" borderId="47" xfId="15" applyFont="1" applyBorder="1" applyAlignment="1">
      <alignment horizontal="center"/>
    </xf>
    <xf numFmtId="0" fontId="27" fillId="0" borderId="13" xfId="9" applyBorder="1" applyAlignment="1">
      <alignment horizontal="center" vertical="center"/>
    </xf>
    <xf numFmtId="0" fontId="27" fillId="0" borderId="10" xfId="9" applyBorder="1" applyAlignment="1">
      <alignment vertical="center"/>
    </xf>
    <xf numFmtId="0" fontId="43" fillId="0" borderId="54" xfId="15" applyFont="1" applyBorder="1" applyAlignment="1">
      <alignment horizontal="center" vertical="center"/>
    </xf>
    <xf numFmtId="0" fontId="26" fillId="0" borderId="24" xfId="9" applyFont="1" applyBorder="1" applyAlignment="1">
      <alignment vertical="center"/>
    </xf>
    <xf numFmtId="0" fontId="27" fillId="0" borderId="10" xfId="9" applyBorder="1" applyAlignment="1">
      <alignment horizontal="center" vertical="center"/>
    </xf>
    <xf numFmtId="0" fontId="43" fillId="0" borderId="75" xfId="15" applyFont="1" applyBorder="1" applyAlignment="1">
      <alignment horizontal="center" vertical="center"/>
    </xf>
    <xf numFmtId="0" fontId="27" fillId="0" borderId="80" xfId="9" applyBorder="1" applyAlignment="1">
      <alignment horizontal="center" vertical="center"/>
    </xf>
    <xf numFmtId="0" fontId="27" fillId="0" borderId="76" xfId="9" applyBorder="1" applyAlignment="1">
      <alignment horizontal="left" vertical="center" indent="1"/>
    </xf>
    <xf numFmtId="0" fontId="27" fillId="0" borderId="57" xfId="9" applyBorder="1" applyAlignment="1">
      <alignment horizontal="left" vertical="center" indent="1"/>
    </xf>
    <xf numFmtId="0" fontId="27" fillId="0" borderId="10" xfId="9" quotePrefix="1" applyBorder="1" applyAlignment="1">
      <alignment vertical="center"/>
    </xf>
    <xf numFmtId="169" fontId="27" fillId="0" borderId="10" xfId="10" quotePrefix="1" applyNumberFormat="1" applyFont="1" applyBorder="1" applyAlignment="1">
      <alignment vertical="center"/>
    </xf>
    <xf numFmtId="0" fontId="26" fillId="0" borderId="10" xfId="9" quotePrefix="1" applyFont="1" applyBorder="1" applyAlignment="1">
      <alignment horizontal="left" vertical="center" indent="1"/>
    </xf>
    <xf numFmtId="44" fontId="49" fillId="0" borderId="0" xfId="14" applyFont="1" applyBorder="1" applyAlignment="1">
      <alignment horizontal="center" vertical="center"/>
    </xf>
    <xf numFmtId="165" fontId="43" fillId="0" borderId="51" xfId="15" applyNumberFormat="1" applyFont="1" applyBorder="1" applyAlignment="1">
      <alignment horizontal="center" vertical="center"/>
    </xf>
    <xf numFmtId="0" fontId="26" fillId="0" borderId="10" xfId="9" applyFont="1" applyBorder="1" applyAlignment="1">
      <alignment vertical="center" wrapText="1"/>
    </xf>
    <xf numFmtId="0" fontId="26" fillId="0" borderId="10" xfId="9" applyFont="1" applyBorder="1" applyAlignment="1">
      <alignment horizontal="center" vertical="center" wrapText="1"/>
    </xf>
    <xf numFmtId="44" fontId="49" fillId="0" borderId="1" xfId="14" applyFont="1" applyBorder="1" applyAlignment="1">
      <alignment horizontal="center" vertical="center"/>
    </xf>
    <xf numFmtId="0" fontId="26" fillId="0" borderId="0" xfId="9" applyFont="1" applyAlignment="1">
      <alignment vertical="center" wrapText="1"/>
    </xf>
    <xf numFmtId="169" fontId="27" fillId="0" borderId="0" xfId="10" quotePrefix="1" applyNumberFormat="1" applyFont="1" applyBorder="1" applyAlignment="1">
      <alignment vertical="center"/>
    </xf>
    <xf numFmtId="169" fontId="27" fillId="0" borderId="0" xfId="10" applyNumberFormat="1" applyFont="1" applyBorder="1" applyAlignment="1">
      <alignment vertical="center"/>
    </xf>
    <xf numFmtId="44" fontId="43" fillId="32" borderId="8" xfId="9" applyNumberFormat="1" applyFont="1" applyFill="1" applyBorder="1" applyAlignment="1">
      <alignment vertical="center" wrapText="1"/>
    </xf>
    <xf numFmtId="0" fontId="36" fillId="0" borderId="52" xfId="15" applyFont="1" applyBorder="1" applyAlignment="1">
      <alignment horizontal="center" vertical="center" wrapText="1"/>
    </xf>
    <xf numFmtId="0" fontId="27" fillId="0" borderId="5" xfId="9" applyBorder="1" applyAlignment="1">
      <alignment horizontal="left" vertical="center" indent="1"/>
    </xf>
    <xf numFmtId="0" fontId="27" fillId="0" borderId="73" xfId="9" applyBorder="1" applyAlignment="1">
      <alignment horizontal="left" vertical="center" indent="1"/>
    </xf>
    <xf numFmtId="0" fontId="27" fillId="0" borderId="12" xfId="9" applyBorder="1" applyAlignment="1">
      <alignment horizontal="center" vertical="center"/>
    </xf>
    <xf numFmtId="38" fontId="49" fillId="0" borderId="60" xfId="9" applyNumberFormat="1" applyFont="1" applyBorder="1" applyAlignment="1">
      <alignment horizontal="center" vertical="center"/>
    </xf>
    <xf numFmtId="38" fontId="49" fillId="0" borderId="73" xfId="9" applyNumberFormat="1" applyFont="1" applyBorder="1" applyAlignment="1">
      <alignment horizontal="center" vertical="center"/>
    </xf>
    <xf numFmtId="38" fontId="49" fillId="0" borderId="6" xfId="9" applyNumberFormat="1" applyFont="1" applyBorder="1" applyAlignment="1">
      <alignment horizontal="center" vertical="center"/>
    </xf>
    <xf numFmtId="0" fontId="43" fillId="0" borderId="62" xfId="15" applyFont="1" applyBorder="1" applyAlignment="1">
      <alignment horizontal="center" vertical="center"/>
    </xf>
    <xf numFmtId="0" fontId="6" fillId="0" borderId="35" xfId="4" quotePrefix="1" applyBorder="1"/>
    <xf numFmtId="0" fontId="0" fillId="0" borderId="10" xfId="0" applyBorder="1"/>
    <xf numFmtId="0" fontId="0" fillId="0" borderId="0" xfId="0" applyAlignment="1">
      <alignment vertical="center" wrapText="1"/>
    </xf>
    <xf numFmtId="0" fontId="0" fillId="3" borderId="10" xfId="0" applyFill="1" applyBorder="1" applyAlignment="1">
      <alignment vertical="center" wrapText="1"/>
    </xf>
    <xf numFmtId="44" fontId="43" fillId="0" borderId="61" xfId="14" applyFont="1" applyBorder="1" applyAlignment="1">
      <alignment horizontal="center" vertical="center"/>
    </xf>
    <xf numFmtId="43" fontId="2" fillId="27" borderId="10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3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44" fontId="27" fillId="0" borderId="10" xfId="2" applyFont="1" applyBorder="1" applyAlignment="1">
      <alignment vertical="center"/>
    </xf>
    <xf numFmtId="0" fontId="51" fillId="20" borderId="10" xfId="9" applyFont="1" applyFill="1" applyBorder="1" applyAlignment="1">
      <alignment horizontal="center" vertical="center" wrapText="1"/>
    </xf>
    <xf numFmtId="0" fontId="34" fillId="29" borderId="10" xfId="9" applyFont="1" applyFill="1" applyBorder="1" applyAlignment="1">
      <alignment horizontal="center" vertical="center" wrapText="1"/>
    </xf>
    <xf numFmtId="0" fontId="34" fillId="35" borderId="10" xfId="9" applyFont="1" applyFill="1" applyBorder="1" applyAlignment="1">
      <alignment horizontal="center" vertical="center" wrapText="1"/>
    </xf>
    <xf numFmtId="10" fontId="27" fillId="0" borderId="10" xfId="10" applyNumberFormat="1" applyFont="1" applyBorder="1" applyAlignment="1">
      <alignment vertical="center"/>
    </xf>
    <xf numFmtId="10" fontId="27" fillId="3" borderId="10" xfId="10" applyNumberFormat="1" applyFont="1" applyFill="1" applyBorder="1" applyAlignment="1">
      <alignment vertical="center"/>
    </xf>
    <xf numFmtId="44" fontId="0" fillId="0" borderId="10" xfId="0" applyNumberFormat="1" applyBorder="1"/>
    <xf numFmtId="44" fontId="0" fillId="0" borderId="10" xfId="2" applyFont="1" applyBorder="1"/>
    <xf numFmtId="0" fontId="27" fillId="0" borderId="10" xfId="9" applyBorder="1" applyAlignment="1">
      <alignment horizontal="left" vertical="center" wrapText="1" indent="1"/>
    </xf>
    <xf numFmtId="44" fontId="5" fillId="0" borderId="10" xfId="2" applyFont="1" applyBorder="1"/>
    <xf numFmtId="168" fontId="2" fillId="27" borderId="10" xfId="2" applyNumberFormat="1" applyFont="1" applyFill="1" applyBorder="1" applyAlignment="1">
      <alignment horizontal="center" vertical="center" wrapText="1"/>
    </xf>
    <xf numFmtId="0" fontId="10" fillId="22" borderId="10" xfId="13" applyFont="1" applyFill="1" applyBorder="1" applyAlignment="1">
      <alignment horizontal="center" vertical="center" wrapText="1"/>
    </xf>
    <xf numFmtId="44" fontId="43" fillId="0" borderId="75" xfId="2" applyFont="1" applyBorder="1" applyAlignment="1">
      <alignment horizontal="center" vertical="center"/>
    </xf>
    <xf numFmtId="44" fontId="43" fillId="0" borderId="54" xfId="2" applyFont="1" applyBorder="1" applyAlignment="1">
      <alignment horizontal="center" vertical="center"/>
    </xf>
    <xf numFmtId="44" fontId="43" fillId="0" borderId="47" xfId="2" applyFont="1" applyBorder="1" applyAlignment="1">
      <alignment horizontal="center"/>
    </xf>
    <xf numFmtId="0" fontId="2" fillId="27" borderId="10" xfId="13" applyFont="1" applyFill="1" applyBorder="1" applyAlignment="1">
      <alignment horizontal="center" vertical="center" wrapText="1"/>
    </xf>
    <xf numFmtId="171" fontId="26" fillId="0" borderId="0" xfId="9" applyNumberFormat="1" applyFont="1"/>
    <xf numFmtId="0" fontId="5" fillId="0" borderId="0" xfId="0" applyFont="1"/>
    <xf numFmtId="0" fontId="5" fillId="22" borderId="10" xfId="0" applyFont="1" applyFill="1" applyBorder="1"/>
    <xf numFmtId="0" fontId="0" fillId="22" borderId="10" xfId="0" applyFill="1" applyBorder="1"/>
    <xf numFmtId="0" fontId="26" fillId="22" borderId="10" xfId="9" applyFont="1" applyFill="1" applyBorder="1" applyAlignment="1">
      <alignment horizontal="left" vertical="center" wrapText="1" indent="1"/>
    </xf>
    <xf numFmtId="44" fontId="5" fillId="22" borderId="10" xfId="2" applyFont="1" applyFill="1" applyBorder="1"/>
    <xf numFmtId="0" fontId="5" fillId="22" borderId="10" xfId="0" applyFont="1" applyFill="1" applyBorder="1" applyAlignment="1">
      <alignment horizontal="center" vertical="center"/>
    </xf>
    <xf numFmtId="0" fontId="5" fillId="22" borderId="10" xfId="0" applyFont="1" applyFill="1" applyBorder="1" applyAlignment="1">
      <alignment horizontal="left" vertical="center" indent="1"/>
    </xf>
    <xf numFmtId="0" fontId="5" fillId="22" borderId="10" xfId="0" applyFont="1" applyFill="1" applyBorder="1" applyAlignment="1">
      <alignment horizontal="center"/>
    </xf>
    <xf numFmtId="43" fontId="15" fillId="27" borderId="10" xfId="1" applyFont="1" applyFill="1" applyBorder="1" applyAlignment="1">
      <alignment horizontal="center" vertical="center" wrapText="1"/>
    </xf>
    <xf numFmtId="0" fontId="13" fillId="16" borderId="10" xfId="0" applyFont="1" applyFill="1" applyBorder="1" applyAlignment="1">
      <alignment horizontal="center" vertical="center"/>
    </xf>
    <xf numFmtId="0" fontId="13" fillId="36" borderId="10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44" fontId="49" fillId="0" borderId="10" xfId="14" applyFont="1" applyBorder="1" applyAlignment="1">
      <alignment horizontal="center" vertical="center"/>
    </xf>
    <xf numFmtId="44" fontId="43" fillId="0" borderId="10" xfId="14" applyFont="1" applyBorder="1" applyAlignment="1">
      <alignment horizontal="center" vertical="center"/>
    </xf>
    <xf numFmtId="0" fontId="8" fillId="36" borderId="10" xfId="0" applyFont="1" applyFill="1" applyBorder="1" applyAlignment="1">
      <alignment horizontal="center"/>
    </xf>
    <xf numFmtId="0" fontId="8" fillId="16" borderId="10" xfId="0" applyFont="1" applyFill="1" applyBorder="1" applyAlignment="1">
      <alignment horizontal="center"/>
    </xf>
    <xf numFmtId="13" fontId="8" fillId="0" borderId="10" xfId="0" applyNumberFormat="1" applyFont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44" fontId="55" fillId="22" borderId="10" xfId="2" applyFont="1" applyFill="1" applyBorder="1" applyAlignment="1">
      <alignment horizontal="left" vertical="center" wrapText="1" indent="1"/>
    </xf>
    <xf numFmtId="0" fontId="15" fillId="22" borderId="10" xfId="13" applyFont="1" applyFill="1" applyBorder="1" applyAlignment="1">
      <alignment horizontal="left" vertical="center" wrapText="1" indent="1"/>
    </xf>
    <xf numFmtId="0" fontId="6" fillId="0" borderId="0" xfId="4" applyAlignment="1">
      <alignment vertical="center" wrapText="1"/>
    </xf>
    <xf numFmtId="0" fontId="18" fillId="0" borderId="10" xfId="4" applyFont="1" applyBorder="1" applyAlignment="1">
      <alignment horizontal="center" vertical="center"/>
    </xf>
    <xf numFmtId="0" fontId="2" fillId="6" borderId="10" xfId="13" applyFont="1" applyFill="1" applyBorder="1" applyAlignment="1">
      <alignment horizontal="center" vertical="center" wrapText="1"/>
    </xf>
    <xf numFmtId="43" fontId="6" fillId="0" borderId="10" xfId="4" applyNumberFormat="1" applyBorder="1" applyAlignment="1">
      <alignment vertical="center"/>
    </xf>
    <xf numFmtId="44" fontId="2" fillId="6" borderId="10" xfId="2" applyFont="1" applyFill="1" applyBorder="1" applyAlignment="1">
      <alignment horizontal="center" vertical="center" wrapText="1"/>
    </xf>
    <xf numFmtId="0" fontId="2" fillId="10" borderId="10" xfId="4" applyFont="1" applyFill="1" applyBorder="1" applyAlignment="1">
      <alignment vertical="center"/>
    </xf>
    <xf numFmtId="44" fontId="2" fillId="10" borderId="10" xfId="2" applyFont="1" applyFill="1" applyBorder="1" applyAlignment="1">
      <alignment vertical="center"/>
    </xf>
    <xf numFmtId="0" fontId="58" fillId="8" borderId="10" xfId="4" applyFont="1" applyFill="1" applyBorder="1" applyAlignment="1">
      <alignment horizontal="center" vertical="center" wrapText="1"/>
    </xf>
    <xf numFmtId="0" fontId="13" fillId="27" borderId="10" xfId="13" applyFont="1" applyFill="1" applyBorder="1" applyAlignment="1">
      <alignment horizontal="center" vertical="center" wrapText="1"/>
    </xf>
    <xf numFmtId="0" fontId="6" fillId="22" borderId="10" xfId="4" applyFill="1" applyBorder="1" applyAlignment="1">
      <alignment vertical="center"/>
    </xf>
    <xf numFmtId="0" fontId="60" fillId="7" borderId="10" xfId="4" applyFont="1" applyFill="1" applyBorder="1" applyAlignment="1">
      <alignment horizontal="center" vertical="center" wrapText="1"/>
    </xf>
    <xf numFmtId="0" fontId="56" fillId="7" borderId="10" xfId="4" applyFont="1" applyFill="1" applyBorder="1" applyAlignment="1">
      <alignment horizontal="center" vertical="center" wrapText="1"/>
    </xf>
    <xf numFmtId="0" fontId="56" fillId="8" borderId="10" xfId="4" applyFont="1" applyFill="1" applyBorder="1" applyAlignment="1">
      <alignment horizontal="center" vertical="center" wrapText="1"/>
    </xf>
    <xf numFmtId="0" fontId="18" fillId="9" borderId="10" xfId="4" applyFont="1" applyFill="1" applyBorder="1" applyAlignment="1">
      <alignment horizontal="center" vertical="center" wrapText="1"/>
    </xf>
    <xf numFmtId="0" fontId="6" fillId="27" borderId="10" xfId="4" applyFill="1" applyBorder="1" applyAlignment="1">
      <alignment vertical="center"/>
    </xf>
    <xf numFmtId="44" fontId="13" fillId="20" borderId="10" xfId="2" applyFont="1" applyFill="1" applyBorder="1" applyAlignment="1">
      <alignment vertical="center"/>
    </xf>
    <xf numFmtId="43" fontId="61" fillId="37" borderId="10" xfId="4" applyNumberFormat="1" applyFont="1" applyFill="1" applyBorder="1" applyAlignment="1">
      <alignment vertical="center"/>
    </xf>
    <xf numFmtId="168" fontId="13" fillId="0" borderId="10" xfId="2" applyNumberFormat="1" applyFont="1" applyBorder="1" applyAlignment="1">
      <alignment vertical="center"/>
    </xf>
    <xf numFmtId="168" fontId="13" fillId="0" borderId="10" xfId="4" applyNumberFormat="1" applyFont="1" applyBorder="1" applyAlignment="1">
      <alignment vertical="center"/>
    </xf>
    <xf numFmtId="0" fontId="18" fillId="38" borderId="10" xfId="4" applyFont="1" applyFill="1" applyBorder="1" applyAlignment="1">
      <alignment horizontal="center" vertical="center"/>
    </xf>
    <xf numFmtId="0" fontId="6" fillId="6" borderId="0" xfId="4" applyFill="1" applyAlignment="1">
      <alignment vertical="center"/>
    </xf>
    <xf numFmtId="0" fontId="9" fillId="0" borderId="10" xfId="4" applyFont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44" fontId="6" fillId="0" borderId="0" xfId="4" applyNumberFormat="1" applyAlignment="1">
      <alignment vertical="center"/>
    </xf>
    <xf numFmtId="0" fontId="8" fillId="6" borderId="10" xfId="4" applyFont="1" applyFill="1" applyBorder="1" applyAlignment="1">
      <alignment horizontal="left" vertical="center" wrapText="1" indent="1"/>
    </xf>
    <xf numFmtId="0" fontId="6" fillId="0" borderId="66" xfId="4" quotePrefix="1" applyBorder="1" applyAlignment="1">
      <alignment horizontal="center"/>
    </xf>
    <xf numFmtId="0" fontId="6" fillId="0" borderId="20" xfId="4" quotePrefix="1" applyBorder="1" applyAlignment="1">
      <alignment horizontal="center"/>
    </xf>
    <xf numFmtId="0" fontId="5" fillId="0" borderId="21" xfId="4" applyFont="1" applyBorder="1" applyAlignment="1">
      <alignment horizontal="center"/>
    </xf>
    <xf numFmtId="0" fontId="5" fillId="13" borderId="37" xfId="4" applyFont="1" applyFill="1" applyBorder="1" applyAlignment="1">
      <alignment horizontal="center"/>
    </xf>
    <xf numFmtId="0" fontId="5" fillId="23" borderId="37" xfId="4" applyFont="1" applyFill="1" applyBorder="1" applyAlignment="1">
      <alignment horizontal="center"/>
    </xf>
    <xf numFmtId="0" fontId="5" fillId="12" borderId="37" xfId="4" applyFont="1" applyFill="1" applyBorder="1" applyAlignment="1">
      <alignment horizontal="center"/>
    </xf>
    <xf numFmtId="0" fontId="6" fillId="0" borderId="4" xfId="4" applyBorder="1"/>
    <xf numFmtId="0" fontId="6" fillId="0" borderId="6" xfId="4" applyBorder="1"/>
    <xf numFmtId="0" fontId="6" fillId="0" borderId="3" xfId="4" applyBorder="1"/>
    <xf numFmtId="0" fontId="6" fillId="0" borderId="5" xfId="4" applyBorder="1"/>
    <xf numFmtId="0" fontId="8" fillId="0" borderId="1" xfId="4" applyFont="1" applyBorder="1"/>
    <xf numFmtId="0" fontId="8" fillId="0" borderId="2" xfId="4" applyFont="1" applyBorder="1"/>
    <xf numFmtId="0" fontId="6" fillId="0" borderId="67" xfId="4" quotePrefix="1" applyBorder="1" applyAlignment="1">
      <alignment horizontal="center"/>
    </xf>
    <xf numFmtId="0" fontId="6" fillId="0" borderId="36" xfId="4" quotePrefix="1" applyBorder="1" applyAlignment="1">
      <alignment horizontal="center"/>
    </xf>
    <xf numFmtId="0" fontId="57" fillId="39" borderId="10" xfId="4" applyFont="1" applyFill="1" applyBorder="1" applyAlignment="1">
      <alignment horizontal="center" vertical="center"/>
    </xf>
    <xf numFmtId="0" fontId="15" fillId="22" borderId="10" xfId="13" applyFont="1" applyFill="1" applyBorder="1" applyAlignment="1">
      <alignment horizontal="left" vertical="center" wrapText="1" indent="2"/>
    </xf>
    <xf numFmtId="0" fontId="15" fillId="22" borderId="10" xfId="13" applyFont="1" applyFill="1" applyBorder="1" applyAlignment="1">
      <alignment horizontal="right" vertical="center" wrapText="1" indent="3"/>
    </xf>
    <xf numFmtId="9" fontId="13" fillId="27" borderId="10" xfId="4" applyNumberFormat="1" applyFont="1" applyFill="1" applyBorder="1" applyAlignment="1">
      <alignment vertical="center"/>
    </xf>
    <xf numFmtId="44" fontId="9" fillId="0" borderId="10" xfId="2" applyFont="1" applyBorder="1" applyAlignment="1">
      <alignment vertical="center" wrapText="1"/>
    </xf>
    <xf numFmtId="44" fontId="9" fillId="0" borderId="10" xfId="2" applyFont="1" applyBorder="1" applyAlignment="1">
      <alignment vertical="center"/>
    </xf>
    <xf numFmtId="44" fontId="63" fillId="10" borderId="10" xfId="2" applyFont="1" applyFill="1" applyBorder="1" applyAlignment="1">
      <alignment vertical="center"/>
    </xf>
    <xf numFmtId="43" fontId="2" fillId="10" borderId="10" xfId="1" applyFont="1" applyFill="1" applyBorder="1" applyAlignment="1">
      <alignment vertical="center"/>
    </xf>
    <xf numFmtId="10" fontId="43" fillId="7" borderId="62" xfId="3" applyNumberFormat="1" applyFont="1" applyFill="1" applyBorder="1" applyAlignment="1">
      <alignment vertical="center" wrapText="1"/>
    </xf>
    <xf numFmtId="10" fontId="43" fillId="7" borderId="7" xfId="3" applyNumberFormat="1" applyFont="1" applyFill="1" applyBorder="1" applyAlignment="1">
      <alignment vertical="center" wrapText="1"/>
    </xf>
    <xf numFmtId="10" fontId="43" fillId="32" borderId="62" xfId="3" applyNumberFormat="1" applyFont="1" applyFill="1" applyBorder="1" applyAlignment="1">
      <alignment vertical="center" wrapText="1"/>
    </xf>
    <xf numFmtId="10" fontId="43" fillId="32" borderId="7" xfId="3" applyNumberFormat="1" applyFont="1" applyFill="1" applyBorder="1" applyAlignment="1">
      <alignment vertical="center" wrapText="1"/>
    </xf>
    <xf numFmtId="10" fontId="43" fillId="32" borderId="44" xfId="3" applyNumberFormat="1" applyFont="1" applyFill="1" applyBorder="1" applyAlignment="1">
      <alignment vertical="center" wrapText="1"/>
    </xf>
    <xf numFmtId="10" fontId="43" fillId="7" borderId="69" xfId="3" applyNumberFormat="1" applyFont="1" applyFill="1" applyBorder="1" applyAlignment="1">
      <alignment vertical="center" wrapText="1"/>
    </xf>
    <xf numFmtId="10" fontId="43" fillId="7" borderId="44" xfId="3" applyNumberFormat="1" applyFont="1" applyFill="1" applyBorder="1" applyAlignment="1">
      <alignment vertical="center" wrapText="1"/>
    </xf>
    <xf numFmtId="10" fontId="43" fillId="32" borderId="69" xfId="3" applyNumberFormat="1" applyFont="1" applyFill="1" applyBorder="1" applyAlignment="1">
      <alignment vertical="center" wrapText="1"/>
    </xf>
    <xf numFmtId="0" fontId="6" fillId="0" borderId="2" xfId="4" applyBorder="1"/>
    <xf numFmtId="44" fontId="0" fillId="6" borderId="0" xfId="6" applyFont="1" applyFill="1" applyBorder="1" applyAlignment="1">
      <alignment horizontal="center"/>
    </xf>
    <xf numFmtId="44" fontId="0" fillId="0" borderId="0" xfId="6" applyFont="1" applyBorder="1" applyAlignment="1">
      <alignment horizontal="center"/>
    </xf>
    <xf numFmtId="0" fontId="6" fillId="0" borderId="35" xfId="4" quotePrefix="1" applyBorder="1" applyAlignment="1">
      <alignment horizontal="center"/>
    </xf>
    <xf numFmtId="44" fontId="0" fillId="6" borderId="35" xfId="6" applyFont="1" applyFill="1" applyBorder="1" applyAlignment="1">
      <alignment horizontal="center"/>
    </xf>
    <xf numFmtId="9" fontId="0" fillId="0" borderId="37" xfId="8" applyFont="1" applyBorder="1"/>
    <xf numFmtId="0" fontId="6" fillId="0" borderId="13" xfId="4" applyBorder="1"/>
    <xf numFmtId="0" fontId="6" fillId="10" borderId="10" xfId="4" applyFill="1" applyBorder="1" applyAlignment="1">
      <alignment horizontal="center"/>
    </xf>
    <xf numFmtId="44" fontId="6" fillId="10" borderId="10" xfId="2" applyFont="1" applyFill="1" applyBorder="1"/>
    <xf numFmtId="0" fontId="6" fillId="10" borderId="10" xfId="4" quotePrefix="1" applyFill="1" applyBorder="1" applyAlignment="1">
      <alignment horizontal="center"/>
    </xf>
    <xf numFmtId="0" fontId="6" fillId="10" borderId="10" xfId="4" applyFill="1" applyBorder="1"/>
    <xf numFmtId="164" fontId="9" fillId="0" borderId="10" xfId="6" applyNumberFormat="1" applyFont="1" applyBorder="1" applyAlignment="1">
      <alignment vertical="center"/>
    </xf>
    <xf numFmtId="10" fontId="27" fillId="3" borderId="0" xfId="10" applyNumberFormat="1" applyFont="1" applyFill="1" applyBorder="1" applyAlignment="1">
      <alignment vertical="center"/>
    </xf>
    <xf numFmtId="10" fontId="27" fillId="0" borderId="0" xfId="10" applyNumberFormat="1" applyFont="1" applyBorder="1" applyAlignment="1">
      <alignment vertical="center"/>
    </xf>
    <xf numFmtId="0" fontId="8" fillId="22" borderId="10" xfId="4" applyFont="1" applyFill="1" applyBorder="1" applyAlignment="1">
      <alignment vertical="center" wrapText="1"/>
    </xf>
    <xf numFmtId="164" fontId="65" fillId="0" borderId="10" xfId="6" applyNumberFormat="1" applyFont="1" applyBorder="1" applyAlignment="1">
      <alignment vertical="center"/>
    </xf>
    <xf numFmtId="44" fontId="9" fillId="6" borderId="10" xfId="6" applyFont="1" applyFill="1" applyBorder="1" applyAlignment="1">
      <alignment vertical="center"/>
    </xf>
    <xf numFmtId="43" fontId="9" fillId="6" borderId="10" xfId="5" applyFont="1" applyFill="1" applyBorder="1" applyAlignment="1">
      <alignment vertical="center"/>
    </xf>
    <xf numFmtId="0" fontId="6" fillId="22" borderId="22" xfId="2" applyNumberFormat="1" applyFont="1" applyFill="1" applyBorder="1" applyAlignment="1">
      <alignment vertical="center"/>
    </xf>
    <xf numFmtId="44" fontId="61" fillId="0" borderId="10" xfId="1" applyNumberFormat="1" applyFont="1" applyBorder="1" applyAlignment="1">
      <alignment vertical="center" wrapText="1"/>
    </xf>
    <xf numFmtId="44" fontId="61" fillId="0" borderId="10" xfId="2" applyFont="1" applyBorder="1" applyAlignment="1">
      <alignment vertical="center" wrapText="1"/>
    </xf>
    <xf numFmtId="44" fontId="61" fillId="0" borderId="10" xfId="4" applyNumberFormat="1" applyFont="1" applyBorder="1" applyAlignment="1">
      <alignment vertical="center" wrapText="1"/>
    </xf>
    <xf numFmtId="44" fontId="61" fillId="0" borderId="13" xfId="4" applyNumberFormat="1" applyFont="1" applyBorder="1" applyAlignment="1">
      <alignment vertical="center"/>
    </xf>
    <xf numFmtId="44" fontId="0" fillId="0" borderId="0" xfId="0" applyNumberFormat="1"/>
    <xf numFmtId="44" fontId="0" fillId="0" borderId="0" xfId="2" applyFont="1"/>
    <xf numFmtId="0" fontId="18" fillId="6" borderId="81" xfId="4" applyFont="1" applyFill="1" applyBorder="1" applyAlignment="1">
      <alignment horizontal="center" vertical="center"/>
    </xf>
    <xf numFmtId="0" fontId="13" fillId="6" borderId="17" xfId="4" applyFont="1" applyFill="1" applyBorder="1" applyAlignment="1">
      <alignment horizontal="center" vertical="center"/>
    </xf>
    <xf numFmtId="0" fontId="2" fillId="27" borderId="13" xfId="13" applyFont="1" applyFill="1" applyBorder="1" applyAlignment="1">
      <alignment horizontal="center" vertical="center" wrapText="1"/>
    </xf>
    <xf numFmtId="0" fontId="15" fillId="22" borderId="13" xfId="13" applyFont="1" applyFill="1" applyBorder="1" applyAlignment="1">
      <alignment horizontal="left" vertical="center" wrapText="1" indent="1"/>
    </xf>
    <xf numFmtId="0" fontId="7" fillId="4" borderId="10" xfId="4" applyFont="1" applyFill="1" applyBorder="1" applyAlignment="1">
      <alignment horizontal="center" vertical="center" wrapText="1"/>
    </xf>
    <xf numFmtId="0" fontId="18" fillId="38" borderId="10" xfId="4" applyFont="1" applyFill="1" applyBorder="1" applyAlignment="1">
      <alignment horizontal="center" vertical="center" wrapText="1"/>
    </xf>
    <xf numFmtId="0" fontId="2" fillId="6" borderId="10" xfId="4" applyFont="1" applyFill="1" applyBorder="1" applyAlignment="1">
      <alignment horizontal="right" vertical="center" indent="1"/>
    </xf>
    <xf numFmtId="0" fontId="8" fillId="0" borderId="10" xfId="4" applyFont="1" applyBorder="1" applyAlignment="1">
      <alignment horizontal="center" vertical="center"/>
    </xf>
    <xf numFmtId="0" fontId="67" fillId="7" borderId="10" xfId="4" applyFont="1" applyFill="1" applyBorder="1" applyAlignment="1">
      <alignment horizontal="center" vertical="center" wrapText="1"/>
    </xf>
    <xf numFmtId="0" fontId="67" fillId="8" borderId="10" xfId="4" applyFont="1" applyFill="1" applyBorder="1" applyAlignment="1">
      <alignment horizontal="center" vertical="center" wrapText="1"/>
    </xf>
    <xf numFmtId="0" fontId="17" fillId="9" borderId="10" xfId="4" applyFont="1" applyFill="1" applyBorder="1" applyAlignment="1">
      <alignment horizontal="center" vertical="center" wrapText="1"/>
    </xf>
    <xf numFmtId="44" fontId="6" fillId="3" borderId="10" xfId="4" applyNumberFormat="1" applyFill="1" applyBorder="1" applyAlignment="1">
      <alignment vertical="center"/>
    </xf>
    <xf numFmtId="43" fontId="9" fillId="19" borderId="10" xfId="1" applyFont="1" applyFill="1" applyBorder="1" applyAlignment="1">
      <alignment vertical="center"/>
    </xf>
    <xf numFmtId="164" fontId="9" fillId="19" borderId="10" xfId="6" applyNumberFormat="1" applyFont="1" applyFill="1" applyBorder="1" applyAlignment="1">
      <alignment vertical="center"/>
    </xf>
    <xf numFmtId="164" fontId="9" fillId="41" borderId="10" xfId="6" applyNumberFormat="1" applyFont="1" applyFill="1" applyBorder="1" applyAlignment="1">
      <alignment vertical="center"/>
    </xf>
    <xf numFmtId="0" fontId="8" fillId="41" borderId="11" xfId="4" applyFont="1" applyFill="1" applyBorder="1" applyAlignment="1">
      <alignment horizontal="right" vertical="center" wrapText="1" indent="1"/>
    </xf>
    <xf numFmtId="0" fontId="8" fillId="41" borderId="11" xfId="4" applyFont="1" applyFill="1" applyBorder="1" applyAlignment="1">
      <alignment horizontal="right" vertical="center" indent="1"/>
    </xf>
    <xf numFmtId="10" fontId="6" fillId="41" borderId="22" xfId="3" applyNumberFormat="1" applyFont="1" applyFill="1" applyBorder="1" applyAlignment="1">
      <alignment horizontal="left" vertical="center" wrapText="1" indent="10"/>
    </xf>
    <xf numFmtId="0" fontId="8" fillId="19" borderId="11" xfId="4" applyFont="1" applyFill="1" applyBorder="1" applyAlignment="1">
      <alignment horizontal="right" vertical="center" indent="1"/>
    </xf>
    <xf numFmtId="0" fontId="18" fillId="42" borderId="82" xfId="4" applyFont="1" applyFill="1" applyBorder="1" applyAlignment="1">
      <alignment horizontal="left" vertical="center" indent="3"/>
    </xf>
    <xf numFmtId="14" fontId="13" fillId="42" borderId="82" xfId="4" applyNumberFormat="1" applyFont="1" applyFill="1" applyBorder="1" applyAlignment="1">
      <alignment horizontal="center" vertical="center"/>
    </xf>
    <xf numFmtId="0" fontId="18" fillId="43" borderId="14" xfId="4" applyFont="1" applyFill="1" applyBorder="1" applyAlignment="1">
      <alignment horizontal="center" vertical="center" shrinkToFit="1"/>
    </xf>
    <xf numFmtId="0" fontId="56" fillId="44" borderId="28" xfId="4" applyFont="1" applyFill="1" applyBorder="1" applyAlignment="1">
      <alignment horizontal="center" vertical="center" wrapText="1"/>
    </xf>
    <xf numFmtId="44" fontId="66" fillId="44" borderId="28" xfId="2" applyFont="1" applyFill="1" applyBorder="1" applyAlignment="1">
      <alignment horizontal="center" vertical="center"/>
    </xf>
    <xf numFmtId="0" fontId="56" fillId="44" borderId="83" xfId="4" applyFont="1" applyFill="1" applyBorder="1" applyAlignment="1">
      <alignment horizontal="center" vertical="center" wrapText="1"/>
    </xf>
    <xf numFmtId="44" fontId="66" fillId="44" borderId="83" xfId="2" applyFont="1" applyFill="1" applyBorder="1" applyAlignment="1">
      <alignment horizontal="center" vertical="center"/>
    </xf>
    <xf numFmtId="0" fontId="6" fillId="29" borderId="10" xfId="4" applyFill="1" applyBorder="1" applyAlignment="1">
      <alignment horizontal="center" vertical="center" wrapText="1"/>
    </xf>
    <xf numFmtId="0" fontId="6" fillId="29" borderId="13" xfId="4" applyFill="1" applyBorder="1" applyAlignment="1">
      <alignment horizontal="center" vertical="center" wrapText="1"/>
    </xf>
    <xf numFmtId="9" fontId="12" fillId="42" borderId="10" xfId="3" applyFont="1" applyFill="1" applyBorder="1" applyAlignment="1">
      <alignment horizontal="center" vertical="center" wrapText="1"/>
    </xf>
    <xf numFmtId="0" fontId="12" fillId="42" borderId="10" xfId="0" applyFont="1" applyFill="1" applyBorder="1" applyAlignment="1">
      <alignment horizontal="center"/>
    </xf>
    <xf numFmtId="172" fontId="2" fillId="42" borderId="10" xfId="1" applyNumberFormat="1" applyFont="1" applyFill="1" applyBorder="1" applyAlignment="1">
      <alignment vertical="center"/>
    </xf>
    <xf numFmtId="0" fontId="13" fillId="43" borderId="10" xfId="13" applyFont="1" applyFill="1" applyBorder="1" applyAlignment="1">
      <alignment horizontal="center" vertical="center" wrapText="1"/>
    </xf>
    <xf numFmtId="0" fontId="26" fillId="13" borderId="10" xfId="9" applyFont="1" applyFill="1" applyBorder="1" applyAlignment="1">
      <alignment horizontal="center" vertical="top" wrapText="1"/>
    </xf>
    <xf numFmtId="165" fontId="26" fillId="13" borderId="10" xfId="9" applyNumberFormat="1" applyFont="1" applyFill="1" applyBorder="1" applyAlignment="1">
      <alignment horizontal="center" vertical="top" wrapText="1"/>
    </xf>
    <xf numFmtId="0" fontId="26" fillId="13" borderId="10" xfId="4" applyFont="1" applyFill="1" applyBorder="1" applyAlignment="1">
      <alignment horizontal="center" vertical="top"/>
    </xf>
    <xf numFmtId="0" fontId="26" fillId="13" borderId="10" xfId="4" quotePrefix="1" applyFont="1" applyFill="1" applyBorder="1" applyAlignment="1">
      <alignment horizontal="center"/>
    </xf>
    <xf numFmtId="44" fontId="27" fillId="13" borderId="10" xfId="14" applyFont="1" applyFill="1" applyBorder="1" applyAlignment="1">
      <alignment vertical="center"/>
    </xf>
    <xf numFmtId="44" fontId="26" fillId="13" borderId="10" xfId="14" applyFont="1" applyFill="1" applyBorder="1" applyAlignment="1">
      <alignment vertical="center"/>
    </xf>
    <xf numFmtId="14" fontId="26" fillId="13" borderId="10" xfId="4" quotePrefix="1" applyNumberFormat="1" applyFont="1" applyFill="1" applyBorder="1" applyAlignment="1">
      <alignment horizontal="center"/>
    </xf>
    <xf numFmtId="0" fontId="26" fillId="13" borderId="10" xfId="4" quotePrefix="1" applyFont="1" applyFill="1" applyBorder="1" applyAlignment="1">
      <alignment horizontal="center" vertical="center"/>
    </xf>
    <xf numFmtId="0" fontId="6" fillId="13" borderId="10" xfId="4" applyFill="1" applyBorder="1"/>
    <xf numFmtId="0" fontId="26" fillId="13" borderId="10" xfId="9" applyFont="1" applyFill="1" applyBorder="1" applyAlignment="1">
      <alignment horizontal="center" vertical="center"/>
    </xf>
    <xf numFmtId="14" fontId="26" fillId="13" borderId="10" xfId="14" applyNumberFormat="1" applyFont="1" applyFill="1" applyBorder="1" applyAlignment="1">
      <alignment vertical="center"/>
    </xf>
    <xf numFmtId="165" fontId="26" fillId="13" borderId="10" xfId="6" applyNumberFormat="1" applyFont="1" applyFill="1" applyBorder="1" applyAlignment="1">
      <alignment horizontal="center" vertical="center"/>
    </xf>
    <xf numFmtId="0" fontId="26" fillId="13" borderId="10" xfId="4" applyFont="1" applyFill="1" applyBorder="1" applyAlignment="1">
      <alignment horizontal="center" vertical="center"/>
    </xf>
    <xf numFmtId="44" fontId="27" fillId="13" borderId="10" xfId="6" applyFont="1" applyFill="1" applyBorder="1" applyAlignment="1">
      <alignment vertical="center"/>
    </xf>
    <xf numFmtId="44" fontId="26" fillId="13" borderId="10" xfId="6" applyFont="1" applyFill="1" applyBorder="1" applyAlignment="1">
      <alignment vertical="center"/>
    </xf>
    <xf numFmtId="165" fontId="26" fillId="13" borderId="10" xfId="6" applyNumberFormat="1" applyFont="1" applyFill="1" applyBorder="1" applyAlignment="1">
      <alignment vertical="center"/>
    </xf>
    <xf numFmtId="44" fontId="0" fillId="13" borderId="10" xfId="6" applyFont="1" applyFill="1" applyBorder="1" applyAlignment="1">
      <alignment vertical="center"/>
    </xf>
    <xf numFmtId="0" fontId="8" fillId="13" borderId="10" xfId="4" quotePrefix="1" applyFont="1" applyFill="1" applyBorder="1" applyAlignment="1">
      <alignment horizontal="center"/>
    </xf>
    <xf numFmtId="0" fontId="8" fillId="13" borderId="10" xfId="4" applyFont="1" applyFill="1" applyBorder="1" applyAlignment="1">
      <alignment horizontal="center" vertical="center" wrapText="1"/>
    </xf>
    <xf numFmtId="0" fontId="46" fillId="13" borderId="10" xfId="4" applyFont="1" applyFill="1" applyBorder="1" applyAlignment="1">
      <alignment horizontal="center" vertical="center" wrapText="1"/>
    </xf>
    <xf numFmtId="0" fontId="6" fillId="13" borderId="10" xfId="4" applyFill="1" applyBorder="1" applyAlignment="1">
      <alignment vertical="center"/>
    </xf>
    <xf numFmtId="0" fontId="6" fillId="13" borderId="10" xfId="4" applyFill="1" applyBorder="1" applyAlignment="1">
      <alignment horizontal="center" vertical="center" wrapText="1"/>
    </xf>
    <xf numFmtId="0" fontId="4" fillId="13" borderId="10" xfId="4" applyFont="1" applyFill="1" applyBorder="1" applyAlignment="1">
      <alignment horizontal="center" vertical="center" wrapText="1"/>
    </xf>
    <xf numFmtId="0" fontId="4" fillId="13" borderId="18" xfId="4" applyFont="1" applyFill="1" applyBorder="1" applyAlignment="1">
      <alignment horizontal="center" vertical="center" wrapText="1"/>
    </xf>
    <xf numFmtId="0" fontId="6" fillId="13" borderId="18" xfId="4" applyFill="1" applyBorder="1" applyAlignment="1">
      <alignment horizontal="center" vertical="center" wrapText="1"/>
    </xf>
    <xf numFmtId="44" fontId="13" fillId="29" borderId="10" xfId="2" applyFont="1" applyFill="1" applyBorder="1" applyAlignment="1">
      <alignment horizontal="center" shrinkToFit="1"/>
    </xf>
    <xf numFmtId="0" fontId="18" fillId="42" borderId="11" xfId="13" applyFont="1" applyFill="1" applyBorder="1" applyAlignment="1">
      <alignment horizontal="center" vertical="center" wrapText="1"/>
    </xf>
    <xf numFmtId="173" fontId="2" fillId="29" borderId="13" xfId="4" applyNumberFormat="1" applyFont="1" applyFill="1" applyBorder="1" applyAlignment="1">
      <alignment horizontal="center" vertical="center"/>
    </xf>
    <xf numFmtId="173" fontId="2" fillId="29" borderId="10" xfId="4" applyNumberFormat="1" applyFont="1" applyFill="1" applyBorder="1" applyAlignment="1">
      <alignment horizontal="center" vertical="center"/>
    </xf>
    <xf numFmtId="0" fontId="18" fillId="43" borderId="13" xfId="4" applyFont="1" applyFill="1" applyBorder="1" applyAlignment="1">
      <alignment horizontal="center" vertical="center"/>
    </xf>
    <xf numFmtId="9" fontId="13" fillId="43" borderId="10" xfId="3" applyFont="1" applyFill="1" applyBorder="1" applyAlignment="1">
      <alignment horizontal="center"/>
    </xf>
    <xf numFmtId="9" fontId="13" fillId="29" borderId="10" xfId="3" applyFont="1" applyFill="1" applyBorder="1" applyAlignment="1">
      <alignment horizontal="center"/>
    </xf>
    <xf numFmtId="0" fontId="0" fillId="0" borderId="10" xfId="0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6" fillId="0" borderId="0" xfId="4" applyAlignment="1">
      <alignment horizontal="center"/>
    </xf>
    <xf numFmtId="0" fontId="5" fillId="3" borderId="10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164" fontId="28" fillId="0" borderId="45" xfId="9" applyNumberFormat="1" applyFont="1" applyBorder="1" applyAlignment="1">
      <alignment horizontal="left" indent="2"/>
    </xf>
    <xf numFmtId="164" fontId="28" fillId="0" borderId="6" xfId="9" applyNumberFormat="1" applyFont="1" applyBorder="1" applyAlignment="1">
      <alignment horizontal="left" indent="2"/>
    </xf>
    <xf numFmtId="164" fontId="28" fillId="0" borderId="0" xfId="9" applyNumberFormat="1" applyFont="1" applyAlignment="1">
      <alignment horizontal="left" indent="2"/>
    </xf>
    <xf numFmtId="164" fontId="28" fillId="0" borderId="4" xfId="9" applyNumberFormat="1" applyFont="1" applyBorder="1" applyAlignment="1">
      <alignment horizontal="left" indent="2"/>
    </xf>
    <xf numFmtId="0" fontId="29" fillId="0" borderId="5" xfId="9" applyFont="1" applyBorder="1" applyAlignment="1">
      <alignment horizontal="center" vertical="center"/>
    </xf>
    <xf numFmtId="0" fontId="34" fillId="26" borderId="1" xfId="9" applyFont="1" applyFill="1" applyBorder="1" applyAlignment="1">
      <alignment horizontal="center"/>
    </xf>
    <xf numFmtId="0" fontId="34" fillId="26" borderId="35" xfId="9" applyFont="1" applyFill="1" applyBorder="1" applyAlignment="1">
      <alignment horizontal="center"/>
    </xf>
    <xf numFmtId="0" fontId="34" fillId="26" borderId="2" xfId="9" applyFont="1" applyFill="1" applyBorder="1" applyAlignment="1">
      <alignment horizontal="center"/>
    </xf>
    <xf numFmtId="0" fontId="8" fillId="41" borderId="11" xfId="4" applyFont="1" applyFill="1" applyBorder="1" applyAlignment="1">
      <alignment horizontal="left" vertical="center" wrapText="1" indent="4"/>
    </xf>
    <xf numFmtId="44" fontId="27" fillId="0" borderId="19" xfId="9" applyNumberFormat="1" applyBorder="1" applyAlignment="1">
      <alignment vertical="center" wrapText="1"/>
    </xf>
    <xf numFmtId="44" fontId="27" fillId="0" borderId="74" xfId="9" applyNumberFormat="1" applyBorder="1" applyAlignment="1">
      <alignment vertical="center" wrapText="1"/>
    </xf>
    <xf numFmtId="44" fontId="27" fillId="0" borderId="75" xfId="9" applyNumberFormat="1" applyBorder="1" applyAlignment="1">
      <alignment vertical="center" wrapText="1"/>
    </xf>
    <xf numFmtId="44" fontId="27" fillId="0" borderId="23" xfId="9" applyNumberFormat="1" applyBorder="1" applyAlignment="1">
      <alignment vertical="center" wrapText="1"/>
    </xf>
    <xf numFmtId="44" fontId="26" fillId="0" borderId="71" xfId="9" applyNumberFormat="1" applyFont="1" applyBorder="1" applyAlignment="1">
      <alignment vertical="center" wrapText="1"/>
    </xf>
    <xf numFmtId="44" fontId="26" fillId="0" borderId="70" xfId="9" applyNumberFormat="1" applyFont="1" applyBorder="1" applyAlignment="1">
      <alignment vertical="center" wrapText="1"/>
    </xf>
    <xf numFmtId="0" fontId="21" fillId="25" borderId="0" xfId="4" applyFont="1" applyFill="1" applyAlignment="1">
      <alignment horizontal="left" vertical="top"/>
    </xf>
    <xf numFmtId="0" fontId="6" fillId="0" borderId="11" xfId="4" applyBorder="1"/>
    <xf numFmtId="0" fontId="6" fillId="0" borderId="21" xfId="4" applyBorder="1"/>
    <xf numFmtId="0" fontId="6" fillId="0" borderId="22" xfId="4" applyBorder="1"/>
    <xf numFmtId="0" fontId="13" fillId="29" borderId="10" xfId="0" applyFont="1" applyFill="1" applyBorder="1" applyAlignment="1">
      <alignment horizontal="center"/>
    </xf>
    <xf numFmtId="164" fontId="13" fillId="42" borderId="10" xfId="2" applyNumberFormat="1" applyFont="1" applyFill="1" applyBorder="1" applyAlignment="1">
      <alignment horizontal="center"/>
    </xf>
    <xf numFmtId="8" fontId="69" fillId="29" borderId="10" xfId="2" applyNumberFormat="1" applyFont="1" applyFill="1" applyBorder="1" applyAlignment="1">
      <alignment horizontal="right" vertical="center" wrapText="1" indent="2"/>
    </xf>
    <xf numFmtId="9" fontId="13" fillId="29" borderId="13" xfId="3" applyFont="1" applyFill="1" applyBorder="1" applyAlignment="1">
      <alignment horizontal="center"/>
    </xf>
    <xf numFmtId="0" fontId="18" fillId="42" borderId="10" xfId="4" applyFont="1" applyFill="1" applyBorder="1" applyAlignment="1">
      <alignment horizontal="center" vertical="center"/>
    </xf>
    <xf numFmtId="43" fontId="2" fillId="43" borderId="10" xfId="1" applyFont="1" applyFill="1" applyBorder="1" applyAlignment="1">
      <alignment vertical="center"/>
    </xf>
    <xf numFmtId="44" fontId="13" fillId="43" borderId="10" xfId="2" applyFont="1" applyFill="1" applyBorder="1" applyAlignment="1">
      <alignment horizontal="center"/>
    </xf>
    <xf numFmtId="0" fontId="13" fillId="42" borderId="10" xfId="13" applyFont="1" applyFill="1" applyBorder="1" applyAlignment="1">
      <alignment horizontal="center" vertical="center" wrapText="1"/>
    </xf>
    <xf numFmtId="44" fontId="13" fillId="29" borderId="10" xfId="2" applyFont="1" applyFill="1" applyBorder="1" applyAlignment="1">
      <alignment horizontal="center"/>
    </xf>
    <xf numFmtId="0" fontId="8" fillId="42" borderId="10" xfId="4" applyFont="1" applyFill="1" applyBorder="1" applyAlignment="1">
      <alignment horizontal="center" vertical="center"/>
    </xf>
    <xf numFmtId="174" fontId="13" fillId="29" borderId="10" xfId="0" applyNumberFormat="1" applyFont="1" applyFill="1" applyBorder="1" applyAlignment="1">
      <alignment horizontal="center"/>
    </xf>
    <xf numFmtId="172" fontId="13" fillId="3" borderId="10" xfId="1" applyNumberFormat="1" applyFont="1" applyFill="1" applyBorder="1" applyAlignment="1">
      <alignment horizontal="center"/>
    </xf>
    <xf numFmtId="8" fontId="55" fillId="3" borderId="10" xfId="2" applyNumberFormat="1" applyFont="1" applyFill="1" applyBorder="1" applyAlignment="1">
      <alignment horizontal="right" vertical="center" wrapText="1" indent="2"/>
    </xf>
    <xf numFmtId="0" fontId="8" fillId="42" borderId="84" xfId="4" applyFont="1" applyFill="1" applyBorder="1" applyAlignment="1">
      <alignment horizontal="center" vertical="center" wrapText="1"/>
    </xf>
    <xf numFmtId="0" fontId="8" fillId="42" borderId="85" xfId="4" applyFont="1" applyFill="1" applyBorder="1" applyAlignment="1">
      <alignment horizontal="center" vertical="center" wrapText="1"/>
    </xf>
    <xf numFmtId="0" fontId="6" fillId="40" borderId="21" xfId="4" applyFill="1" applyBorder="1" applyAlignment="1">
      <alignment horizontal="center" vertical="center"/>
    </xf>
    <xf numFmtId="0" fontId="6" fillId="40" borderId="22" xfId="4" applyFill="1" applyBorder="1" applyAlignment="1">
      <alignment horizontal="center" vertical="center"/>
    </xf>
    <xf numFmtId="0" fontId="47" fillId="13" borderId="52" xfId="9" applyFont="1" applyFill="1" applyBorder="1" applyAlignment="1">
      <alignment horizontal="center" vertical="center"/>
    </xf>
    <xf numFmtId="0" fontId="47" fillId="13" borderId="20" xfId="9" applyFont="1" applyFill="1" applyBorder="1" applyAlignment="1">
      <alignment horizontal="center" vertical="center"/>
    </xf>
    <xf numFmtId="43" fontId="17" fillId="43" borderId="24" xfId="1" applyFont="1" applyFill="1" applyBorder="1" applyAlignment="1">
      <alignment horizontal="center" vertical="center" shrinkToFit="1"/>
    </xf>
    <xf numFmtId="43" fontId="17" fillId="43" borderId="25" xfId="1" applyFont="1" applyFill="1" applyBorder="1" applyAlignment="1">
      <alignment horizontal="center" vertical="center" shrinkToFit="1"/>
    </xf>
    <xf numFmtId="0" fontId="9" fillId="12" borderId="10" xfId="4" applyFont="1" applyFill="1" applyBorder="1" applyAlignment="1">
      <alignment horizontal="center" vertical="center"/>
    </xf>
    <xf numFmtId="0" fontId="59" fillId="8" borderId="11" xfId="4" applyFont="1" applyFill="1" applyBorder="1" applyAlignment="1">
      <alignment horizontal="center" vertical="center"/>
    </xf>
    <xf numFmtId="0" fontId="59" fillId="8" borderId="22" xfId="4" applyFont="1" applyFill="1" applyBorder="1" applyAlignment="1">
      <alignment horizontal="center" vertical="center"/>
    </xf>
    <xf numFmtId="0" fontId="9" fillId="6" borderId="10" xfId="4" applyFont="1" applyFill="1" applyBorder="1" applyAlignment="1">
      <alignment horizontal="center" vertical="center"/>
    </xf>
    <xf numFmtId="0" fontId="8" fillId="6" borderId="10" xfId="4" applyFont="1" applyFill="1" applyBorder="1" applyAlignment="1">
      <alignment horizontal="center" vertical="center" wrapText="1"/>
    </xf>
    <xf numFmtId="0" fontId="54" fillId="43" borderId="10" xfId="15" applyFont="1" applyFill="1" applyBorder="1" applyAlignment="1">
      <alignment horizontal="center" vertical="center" wrapText="1" shrinkToFit="1"/>
    </xf>
    <xf numFmtId="0" fontId="9" fillId="13" borderId="11" xfId="4" applyFont="1" applyFill="1" applyBorder="1" applyAlignment="1">
      <alignment horizontal="center" vertical="center"/>
    </xf>
    <xf numFmtId="0" fontId="9" fillId="13" borderId="22" xfId="4" applyFont="1" applyFill="1" applyBorder="1" applyAlignment="1">
      <alignment horizontal="center" vertical="center"/>
    </xf>
    <xf numFmtId="0" fontId="7" fillId="39" borderId="13" xfId="4" applyFont="1" applyFill="1" applyBorder="1" applyAlignment="1">
      <alignment horizontal="center" vertical="center"/>
    </xf>
    <xf numFmtId="0" fontId="7" fillId="39" borderId="12" xfId="4" applyFont="1" applyFill="1" applyBorder="1" applyAlignment="1">
      <alignment horizontal="center" vertical="center"/>
    </xf>
    <xf numFmtId="0" fontId="7" fillId="39" borderId="17" xfId="4" applyFont="1" applyFill="1" applyBorder="1" applyAlignment="1">
      <alignment horizontal="center" vertical="center"/>
    </xf>
    <xf numFmtId="0" fontId="5" fillId="27" borderId="13" xfId="13" applyFont="1" applyFill="1" applyBorder="1" applyAlignment="1">
      <alignment horizontal="center" vertical="center" wrapText="1"/>
    </xf>
    <xf numFmtId="0" fontId="5" fillId="27" borderId="12" xfId="13" applyFont="1" applyFill="1" applyBorder="1" applyAlignment="1">
      <alignment horizontal="center" vertical="center" wrapText="1"/>
    </xf>
    <xf numFmtId="0" fontId="5" fillId="27" borderId="17" xfId="13" applyFont="1" applyFill="1" applyBorder="1" applyAlignment="1">
      <alignment horizontal="center" vertical="center" wrapText="1"/>
    </xf>
    <xf numFmtId="0" fontId="68" fillId="40" borderId="21" xfId="4" applyFont="1" applyFill="1" applyBorder="1" applyAlignment="1">
      <alignment horizontal="left" vertical="center" indent="2"/>
    </xf>
    <xf numFmtId="0" fontId="68" fillId="40" borderId="22" xfId="4" applyFont="1" applyFill="1" applyBorder="1" applyAlignment="1">
      <alignment horizontal="left" vertical="center" indent="2"/>
    </xf>
    <xf numFmtId="164" fontId="13" fillId="13" borderId="10" xfId="4" applyNumberFormat="1" applyFont="1" applyFill="1" applyBorder="1" applyAlignment="1">
      <alignment horizontal="center" vertical="center"/>
    </xf>
    <xf numFmtId="0" fontId="8" fillId="0" borderId="11" xfId="4" applyFont="1" applyBorder="1" applyAlignment="1">
      <alignment horizontal="left" vertical="center" indent="4"/>
    </xf>
    <xf numFmtId="0" fontId="8" fillId="0" borderId="22" xfId="4" applyFont="1" applyBorder="1" applyAlignment="1">
      <alignment horizontal="left" vertical="center" indent="4"/>
    </xf>
    <xf numFmtId="44" fontId="13" fillId="20" borderId="11" xfId="2" applyFont="1" applyFill="1" applyBorder="1" applyAlignment="1">
      <alignment horizontal="center" vertical="center"/>
    </xf>
    <xf numFmtId="44" fontId="13" fillId="20" borderId="22" xfId="2" applyFont="1" applyFill="1" applyBorder="1" applyAlignment="1">
      <alignment horizontal="center" vertical="center"/>
    </xf>
    <xf numFmtId="0" fontId="7" fillId="4" borderId="11" xfId="4" applyFont="1" applyFill="1" applyBorder="1" applyAlignment="1">
      <alignment horizontal="center" vertical="center"/>
    </xf>
    <xf numFmtId="0" fontId="7" fillId="4" borderId="22" xfId="4" applyFont="1" applyFill="1" applyBorder="1" applyAlignment="1">
      <alignment horizontal="center" vertical="center"/>
    </xf>
    <xf numFmtId="164" fontId="13" fillId="12" borderId="10" xfId="2" applyNumberFormat="1" applyFont="1" applyFill="1" applyBorder="1" applyAlignment="1">
      <alignment horizontal="center" vertical="center"/>
    </xf>
    <xf numFmtId="164" fontId="64" fillId="8" borderId="11" xfId="2" applyNumberFormat="1" applyFont="1" applyFill="1" applyBorder="1" applyAlignment="1">
      <alignment horizontal="center" vertical="center"/>
    </xf>
    <xf numFmtId="164" fontId="64" fillId="8" borderId="22" xfId="2" applyNumberFormat="1" applyFont="1" applyFill="1" applyBorder="1" applyAlignment="1">
      <alignment horizontal="center" vertical="center"/>
    </xf>
    <xf numFmtId="164" fontId="13" fillId="13" borderId="10" xfId="2" applyNumberFormat="1" applyFont="1" applyFill="1" applyBorder="1" applyAlignment="1">
      <alignment horizontal="center" vertical="center"/>
    </xf>
    <xf numFmtId="0" fontId="8" fillId="19" borderId="11" xfId="4" applyFont="1" applyFill="1" applyBorder="1" applyAlignment="1">
      <alignment horizontal="left" vertical="center" wrapText="1" indent="4"/>
    </xf>
    <xf numFmtId="0" fontId="8" fillId="19" borderId="22" xfId="4" applyFont="1" applyFill="1" applyBorder="1" applyAlignment="1">
      <alignment horizontal="left" vertical="center" wrapText="1" indent="4"/>
    </xf>
    <xf numFmtId="0" fontId="8" fillId="41" borderId="11" xfId="4" applyFont="1" applyFill="1" applyBorder="1" applyAlignment="1">
      <alignment horizontal="left" vertical="center" wrapText="1" indent="4"/>
    </xf>
    <xf numFmtId="0" fontId="8" fillId="41" borderId="22" xfId="4" applyFont="1" applyFill="1" applyBorder="1" applyAlignment="1">
      <alignment horizontal="left" vertical="center" wrapText="1" indent="4"/>
    </xf>
    <xf numFmtId="164" fontId="13" fillId="12" borderId="10" xfId="4" applyNumberFormat="1" applyFont="1" applyFill="1" applyBorder="1" applyAlignment="1">
      <alignment horizontal="center" vertical="center"/>
    </xf>
    <xf numFmtId="164" fontId="64" fillId="8" borderId="11" xfId="4" applyNumberFormat="1" applyFont="1" applyFill="1" applyBorder="1" applyAlignment="1">
      <alignment horizontal="center" vertical="center"/>
    </xf>
    <xf numFmtId="164" fontId="64" fillId="8" borderId="22" xfId="4" applyNumberFormat="1" applyFont="1" applyFill="1" applyBorder="1" applyAlignment="1">
      <alignment horizontal="center" vertical="center"/>
    </xf>
    <xf numFmtId="0" fontId="8" fillId="0" borderId="11" xfId="4" applyFont="1" applyBorder="1" applyAlignment="1">
      <alignment horizontal="left" vertical="center" indent="10"/>
    </xf>
    <xf numFmtId="0" fontId="8" fillId="0" borderId="22" xfId="4" applyFont="1" applyBorder="1" applyAlignment="1">
      <alignment horizontal="left" vertical="center" indent="10"/>
    </xf>
    <xf numFmtId="0" fontId="13" fillId="12" borderId="10" xfId="4" applyFont="1" applyFill="1" applyBorder="1" applyAlignment="1">
      <alignment horizontal="center" vertical="center"/>
    </xf>
    <xf numFmtId="44" fontId="9" fillId="0" borderId="13" xfId="2" applyFont="1" applyBorder="1" applyAlignment="1">
      <alignment horizontal="center" vertical="center" wrapText="1"/>
    </xf>
    <xf numFmtId="44" fontId="9" fillId="0" borderId="12" xfId="2" applyFont="1" applyBorder="1" applyAlignment="1">
      <alignment horizontal="center" vertical="center" wrapText="1"/>
    </xf>
    <xf numFmtId="44" fontId="9" fillId="0" borderId="17" xfId="2" applyFont="1" applyBorder="1" applyAlignment="1">
      <alignment horizontal="center" vertical="center" wrapText="1"/>
    </xf>
    <xf numFmtId="0" fontId="37" fillId="27" borderId="11" xfId="11" applyFill="1" applyBorder="1" applyAlignment="1" applyProtection="1">
      <alignment horizontal="left" vertical="center" indent="2" shrinkToFit="1"/>
    </xf>
    <xf numFmtId="0" fontId="40" fillId="27" borderId="37" xfId="11" applyFont="1" applyFill="1" applyBorder="1" applyAlignment="1" applyProtection="1">
      <alignment horizontal="left" vertical="center" indent="2" shrinkToFit="1"/>
    </xf>
    <xf numFmtId="0" fontId="34" fillId="26" borderId="1" xfId="9" applyFont="1" applyFill="1" applyBorder="1" applyAlignment="1">
      <alignment horizontal="center"/>
    </xf>
    <xf numFmtId="0" fontId="34" fillId="26" borderId="35" xfId="9" applyFont="1" applyFill="1" applyBorder="1" applyAlignment="1">
      <alignment horizontal="center"/>
    </xf>
    <xf numFmtId="0" fontId="34" fillId="26" borderId="2" xfId="9" applyFont="1" applyFill="1" applyBorder="1" applyAlignment="1">
      <alignment horizontal="center"/>
    </xf>
    <xf numFmtId="0" fontId="28" fillId="0" borderId="21" xfId="9" applyFont="1" applyBorder="1" applyAlignment="1">
      <alignment horizontal="left" indent="2"/>
    </xf>
    <xf numFmtId="0" fontId="28" fillId="0" borderId="37" xfId="9" applyFont="1" applyBorder="1" applyAlignment="1">
      <alignment horizontal="left" indent="2"/>
    </xf>
    <xf numFmtId="166" fontId="29" fillId="27" borderId="58" xfId="9" applyNumberFormat="1" applyFont="1" applyFill="1" applyBorder="1" applyAlignment="1">
      <alignment horizontal="left" vertical="center" indent="2" shrinkToFit="1"/>
    </xf>
    <xf numFmtId="166" fontId="29" fillId="27" borderId="42" xfId="9" applyNumberFormat="1" applyFont="1" applyFill="1" applyBorder="1" applyAlignment="1">
      <alignment horizontal="left" vertical="center" indent="2" shrinkToFit="1"/>
    </xf>
    <xf numFmtId="0" fontId="36" fillId="27" borderId="11" xfId="9" applyFont="1" applyFill="1" applyBorder="1" applyAlignment="1">
      <alignment horizontal="left" vertical="center" shrinkToFit="1"/>
    </xf>
    <xf numFmtId="0" fontId="36" fillId="27" borderId="37" xfId="9" applyFont="1" applyFill="1" applyBorder="1" applyAlignment="1">
      <alignment horizontal="left" vertical="center" shrinkToFit="1"/>
    </xf>
    <xf numFmtId="0" fontId="36" fillId="27" borderId="19" xfId="9" applyFont="1" applyFill="1" applyBorder="1" applyAlignment="1">
      <alignment horizontal="left" vertical="center" shrinkToFit="1"/>
    </xf>
    <xf numFmtId="0" fontId="36" fillId="27" borderId="51" xfId="9" applyFont="1" applyFill="1" applyBorder="1" applyAlignment="1">
      <alignment horizontal="left" vertical="center" shrinkToFit="1"/>
    </xf>
    <xf numFmtId="0" fontId="34" fillId="26" borderId="7" xfId="9" applyFont="1" applyFill="1" applyBorder="1" applyAlignment="1">
      <alignment horizontal="center"/>
    </xf>
    <xf numFmtId="0" fontId="34" fillId="26" borderId="8" xfId="9" applyFont="1" applyFill="1" applyBorder="1" applyAlignment="1">
      <alignment horizontal="center"/>
    </xf>
    <xf numFmtId="0" fontId="34" fillId="26" borderId="9" xfId="9" applyFont="1" applyFill="1" applyBorder="1" applyAlignment="1">
      <alignment horizontal="center"/>
    </xf>
    <xf numFmtId="0" fontId="38" fillId="27" borderId="11" xfId="11" applyFont="1" applyFill="1" applyBorder="1" applyAlignment="1" applyProtection="1">
      <alignment horizontal="left" vertical="center" shrinkToFit="1"/>
    </xf>
    <xf numFmtId="0" fontId="38" fillId="27" borderId="37" xfId="11" applyFont="1" applyFill="1" applyBorder="1" applyAlignment="1" applyProtection="1">
      <alignment horizontal="left" vertical="center" shrinkToFit="1"/>
    </xf>
    <xf numFmtId="0" fontId="36" fillId="27" borderId="60" xfId="9" applyFont="1" applyFill="1" applyBorder="1" applyAlignment="1">
      <alignment horizontal="left" vertical="center" shrinkToFit="1"/>
    </xf>
    <xf numFmtId="0" fontId="36" fillId="27" borderId="6" xfId="9" applyFont="1" applyFill="1" applyBorder="1" applyAlignment="1">
      <alignment horizontal="left" vertical="center" shrinkToFit="1"/>
    </xf>
    <xf numFmtId="0" fontId="29" fillId="27" borderId="19" xfId="9" applyFont="1" applyFill="1" applyBorder="1" applyAlignment="1">
      <alignment horizontal="left" vertical="center" indent="2"/>
    </xf>
    <xf numFmtId="0" fontId="29" fillId="27" borderId="51" xfId="9" applyFont="1" applyFill="1" applyBorder="1" applyAlignment="1">
      <alignment horizontal="left" vertical="center" indent="2"/>
    </xf>
    <xf numFmtId="0" fontId="36" fillId="27" borderId="11" xfId="9" applyFont="1" applyFill="1" applyBorder="1" applyAlignment="1">
      <alignment horizontal="center" vertical="center" shrinkToFit="1"/>
    </xf>
    <xf numFmtId="0" fontId="36" fillId="27" borderId="37" xfId="9" applyFont="1" applyFill="1" applyBorder="1" applyAlignment="1">
      <alignment horizontal="center" vertical="center" shrinkToFit="1"/>
    </xf>
    <xf numFmtId="0" fontId="34" fillId="29" borderId="7" xfId="9" applyFont="1" applyFill="1" applyBorder="1" applyAlignment="1">
      <alignment horizontal="center"/>
    </xf>
    <xf numFmtId="0" fontId="34" fillId="29" borderId="8" xfId="9" applyFont="1" applyFill="1" applyBorder="1" applyAlignment="1">
      <alignment horizontal="center"/>
    </xf>
    <xf numFmtId="0" fontId="34" fillId="29" borderId="9" xfId="9" applyFont="1" applyFill="1" applyBorder="1" applyAlignment="1">
      <alignment horizontal="center"/>
    </xf>
    <xf numFmtId="164" fontId="39" fillId="27" borderId="11" xfId="9" applyNumberFormat="1" applyFont="1" applyFill="1" applyBorder="1" applyAlignment="1">
      <alignment horizontal="center" vertical="center" shrinkToFit="1"/>
    </xf>
    <xf numFmtId="164" fontId="39" fillId="27" borderId="21" xfId="9" applyNumberFormat="1" applyFont="1" applyFill="1" applyBorder="1" applyAlignment="1">
      <alignment horizontal="center" vertical="center" shrinkToFit="1"/>
    </xf>
    <xf numFmtId="164" fontId="36" fillId="0" borderId="11" xfId="9" applyNumberFormat="1" applyFont="1" applyBorder="1" applyAlignment="1">
      <alignment horizontal="center" vertical="center" shrinkToFit="1"/>
    </xf>
    <xf numFmtId="164" fontId="36" fillId="0" borderId="21" xfId="9" applyNumberFormat="1" applyFont="1" applyBorder="1" applyAlignment="1">
      <alignment horizontal="center" vertical="center" shrinkToFit="1"/>
    </xf>
    <xf numFmtId="0" fontId="36" fillId="27" borderId="59" xfId="9" applyFont="1" applyFill="1" applyBorder="1" applyAlignment="1">
      <alignment horizontal="center" vertical="center" shrinkToFit="1"/>
    </xf>
    <xf numFmtId="0" fontId="36" fillId="27" borderId="36" xfId="9" applyFont="1" applyFill="1" applyBorder="1" applyAlignment="1">
      <alignment horizontal="center" vertical="center" shrinkToFit="1"/>
    </xf>
    <xf numFmtId="166" fontId="29" fillId="27" borderId="11" xfId="9" applyNumberFormat="1" applyFont="1" applyFill="1" applyBorder="1" applyAlignment="1">
      <alignment horizontal="left" vertical="center" indent="2" shrinkToFit="1"/>
    </xf>
    <xf numFmtId="166" fontId="29" fillId="27" borderId="37" xfId="9" applyNumberFormat="1" applyFont="1" applyFill="1" applyBorder="1" applyAlignment="1">
      <alignment horizontal="left" vertical="center" indent="2" shrinkToFit="1"/>
    </xf>
    <xf numFmtId="164" fontId="36" fillId="0" borderId="37" xfId="9" applyNumberFormat="1" applyFont="1" applyBorder="1" applyAlignment="1">
      <alignment horizontal="center" vertical="center" shrinkToFit="1"/>
    </xf>
    <xf numFmtId="164" fontId="28" fillId="0" borderId="35" xfId="9" applyNumberFormat="1" applyFont="1" applyBorder="1" applyAlignment="1">
      <alignment horizontal="left" indent="2"/>
    </xf>
    <xf numFmtId="164" fontId="28" fillId="0" borderId="2" xfId="9" applyNumberFormat="1" applyFont="1" applyBorder="1" applyAlignment="1">
      <alignment horizontal="left" indent="2"/>
    </xf>
    <xf numFmtId="164" fontId="28" fillId="0" borderId="0" xfId="9" applyNumberFormat="1" applyFont="1" applyAlignment="1">
      <alignment horizontal="left" indent="2"/>
    </xf>
    <xf numFmtId="164" fontId="28" fillId="0" borderId="4" xfId="9" applyNumberFormat="1" applyFont="1" applyBorder="1" applyAlignment="1">
      <alignment horizontal="left" indent="2"/>
    </xf>
    <xf numFmtId="0" fontId="28" fillId="0" borderId="11" xfId="9" applyFont="1" applyBorder="1" applyAlignment="1">
      <alignment vertical="center"/>
    </xf>
    <xf numFmtId="0" fontId="28" fillId="0" borderId="21" xfId="9" applyFont="1" applyBorder="1" applyAlignment="1">
      <alignment vertical="center"/>
    </xf>
    <xf numFmtId="0" fontId="34" fillId="28" borderId="1" xfId="9" applyFont="1" applyFill="1" applyBorder="1" applyAlignment="1">
      <alignment horizontal="center"/>
    </xf>
    <xf numFmtId="0" fontId="34" fillId="28" borderId="35" xfId="9" applyFont="1" applyFill="1" applyBorder="1" applyAlignment="1">
      <alignment horizontal="center"/>
    </xf>
    <xf numFmtId="0" fontId="34" fillId="28" borderId="2" xfId="9" applyFont="1" applyFill="1" applyBorder="1" applyAlignment="1">
      <alignment horizontal="center"/>
    </xf>
    <xf numFmtId="0" fontId="29" fillId="27" borderId="11" xfId="9" applyFont="1" applyFill="1" applyBorder="1" applyAlignment="1">
      <alignment horizontal="left" vertical="center" indent="2"/>
    </xf>
    <xf numFmtId="0" fontId="29" fillId="27" borderId="37" xfId="9" applyFont="1" applyFill="1" applyBorder="1" applyAlignment="1">
      <alignment horizontal="left" vertical="center" indent="2"/>
    </xf>
    <xf numFmtId="166" fontId="36" fillId="27" borderId="58" xfId="9" applyNumberFormat="1" applyFont="1" applyFill="1" applyBorder="1" applyAlignment="1">
      <alignment horizontal="left" vertical="center" shrinkToFit="1"/>
    </xf>
    <xf numFmtId="166" fontId="36" fillId="27" borderId="42" xfId="9" applyNumberFormat="1" applyFont="1" applyFill="1" applyBorder="1" applyAlignment="1">
      <alignment horizontal="left" vertical="center" shrinkToFit="1"/>
    </xf>
    <xf numFmtId="0" fontId="28" fillId="0" borderId="10" xfId="9" applyFont="1" applyBorder="1" applyAlignment="1">
      <alignment vertical="center"/>
    </xf>
    <xf numFmtId="0" fontId="29" fillId="27" borderId="59" xfId="9" applyFont="1" applyFill="1" applyBorder="1" applyAlignment="1">
      <alignment horizontal="left" vertical="center" indent="2"/>
    </xf>
    <xf numFmtId="0" fontId="29" fillId="27" borderId="36" xfId="9" applyFont="1" applyFill="1" applyBorder="1" applyAlignment="1">
      <alignment horizontal="left" vertical="center" indent="2"/>
    </xf>
    <xf numFmtId="167" fontId="39" fillId="27" borderId="11" xfId="9" applyNumberFormat="1" applyFont="1" applyFill="1" applyBorder="1" applyAlignment="1">
      <alignment horizontal="center" vertical="center" shrinkToFit="1"/>
    </xf>
    <xf numFmtId="167" fontId="39" fillId="27" borderId="37" xfId="9" applyNumberFormat="1" applyFont="1" applyFill="1" applyBorder="1" applyAlignment="1">
      <alignment horizontal="center" vertical="center" shrinkToFit="1"/>
    </xf>
    <xf numFmtId="0" fontId="36" fillId="27" borderId="59" xfId="9" applyFont="1" applyFill="1" applyBorder="1" applyAlignment="1">
      <alignment horizontal="left" vertical="center" shrinkToFit="1"/>
    </xf>
    <xf numFmtId="0" fontId="36" fillId="27" borderId="36" xfId="9" applyFont="1" applyFill="1" applyBorder="1" applyAlignment="1">
      <alignment horizontal="left" vertical="center" shrinkToFit="1"/>
    </xf>
    <xf numFmtId="0" fontId="34" fillId="26" borderId="7" xfId="9" applyFont="1" applyFill="1" applyBorder="1" applyAlignment="1">
      <alignment horizontal="center" vertical="center" wrapText="1"/>
    </xf>
    <xf numFmtId="0" fontId="34" fillId="26" borderId="8" xfId="9" applyFont="1" applyFill="1" applyBorder="1" applyAlignment="1">
      <alignment horizontal="center" vertical="center" wrapText="1"/>
    </xf>
    <xf numFmtId="0" fontId="34" fillId="26" borderId="9" xfId="9" applyFont="1" applyFill="1" applyBorder="1" applyAlignment="1">
      <alignment horizontal="center" vertical="center" wrapText="1"/>
    </xf>
    <xf numFmtId="0" fontId="29" fillId="27" borderId="59" xfId="9" applyFont="1" applyFill="1" applyBorder="1" applyAlignment="1">
      <alignment horizontal="left" vertical="center" indent="2" shrinkToFit="1"/>
    </xf>
    <xf numFmtId="0" fontId="29" fillId="27" borderId="36" xfId="9" applyFont="1" applyFill="1" applyBorder="1" applyAlignment="1">
      <alignment horizontal="left" vertical="center" indent="2" shrinkToFit="1"/>
    </xf>
    <xf numFmtId="0" fontId="30" fillId="27" borderId="1" xfId="9" applyFont="1" applyFill="1" applyBorder="1" applyAlignment="1">
      <alignment horizontal="left" vertical="center" wrapText="1" indent="1"/>
    </xf>
    <xf numFmtId="0" fontId="30" fillId="27" borderId="35" xfId="9" applyFont="1" applyFill="1" applyBorder="1" applyAlignment="1">
      <alignment horizontal="left" vertical="center" wrapText="1" indent="1"/>
    </xf>
    <xf numFmtId="0" fontId="30" fillId="27" borderId="2" xfId="9" applyFont="1" applyFill="1" applyBorder="1" applyAlignment="1">
      <alignment horizontal="left" vertical="center" wrapText="1" indent="1"/>
    </xf>
    <xf numFmtId="0" fontId="30" fillId="27" borderId="3" xfId="9" applyFont="1" applyFill="1" applyBorder="1" applyAlignment="1">
      <alignment horizontal="left" vertical="center" wrapText="1" indent="1"/>
    </xf>
    <xf numFmtId="0" fontId="30" fillId="27" borderId="0" xfId="9" applyFont="1" applyFill="1" applyAlignment="1">
      <alignment horizontal="left" vertical="center" wrapText="1" indent="1"/>
    </xf>
    <xf numFmtId="0" fontId="30" fillId="27" borderId="4" xfId="9" applyFont="1" applyFill="1" applyBorder="1" applyAlignment="1">
      <alignment horizontal="left" vertical="center" wrapText="1" indent="1"/>
    </xf>
    <xf numFmtId="164" fontId="28" fillId="0" borderId="45" xfId="9" applyNumberFormat="1" applyFont="1" applyBorder="1" applyAlignment="1">
      <alignment horizontal="left" indent="2"/>
    </xf>
    <xf numFmtId="164" fontId="28" fillId="0" borderId="6" xfId="9" applyNumberFormat="1" applyFont="1" applyBorder="1" applyAlignment="1">
      <alignment horizontal="left" indent="2"/>
    </xf>
    <xf numFmtId="0" fontId="44" fillId="0" borderId="8" xfId="9" applyFont="1" applyBorder="1" applyAlignment="1">
      <alignment horizontal="center" vertical="center" shrinkToFit="1"/>
    </xf>
    <xf numFmtId="0" fontId="44" fillId="0" borderId="9" xfId="9" applyFont="1" applyBorder="1" applyAlignment="1">
      <alignment horizontal="center" vertical="center" shrinkToFit="1"/>
    </xf>
    <xf numFmtId="0" fontId="42" fillId="0" borderId="65" xfId="9" applyFont="1" applyBorder="1" applyAlignment="1">
      <alignment horizontal="center" vertical="center" shrinkToFit="1"/>
    </xf>
    <xf numFmtId="0" fontId="42" fillId="0" borderId="9" xfId="9" applyFont="1" applyBorder="1" applyAlignment="1">
      <alignment horizontal="center" vertical="center" shrinkToFit="1"/>
    </xf>
    <xf numFmtId="0" fontId="29" fillId="0" borderId="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27" borderId="11" xfId="9" applyFont="1" applyFill="1" applyBorder="1" applyAlignment="1">
      <alignment horizontal="left" vertical="center" indent="2" shrinkToFit="1"/>
    </xf>
    <xf numFmtId="0" fontId="29" fillId="27" borderId="37" xfId="9" applyFont="1" applyFill="1" applyBorder="1" applyAlignment="1">
      <alignment horizontal="left" vertical="center" indent="2" shrinkToFit="1"/>
    </xf>
    <xf numFmtId="0" fontId="29" fillId="27" borderId="19" xfId="9" applyFont="1" applyFill="1" applyBorder="1" applyAlignment="1">
      <alignment horizontal="left" vertical="center" indent="2" shrinkToFit="1"/>
    </xf>
    <xf numFmtId="0" fontId="29" fillId="27" borderId="51" xfId="9" applyFont="1" applyFill="1" applyBorder="1" applyAlignment="1">
      <alignment horizontal="left" vertical="center" indent="2" shrinkToFit="1"/>
    </xf>
    <xf numFmtId="0" fontId="36" fillId="27" borderId="58" xfId="9" applyFont="1" applyFill="1" applyBorder="1" applyAlignment="1">
      <alignment horizontal="center" vertical="center" shrinkToFit="1"/>
    </xf>
    <xf numFmtId="0" fontId="36" fillId="27" borderId="42" xfId="9" applyFont="1" applyFill="1" applyBorder="1" applyAlignment="1">
      <alignment horizontal="center" vertical="center" shrinkToFit="1"/>
    </xf>
    <xf numFmtId="0" fontId="29" fillId="27" borderId="60" xfId="9" applyFont="1" applyFill="1" applyBorder="1" applyAlignment="1">
      <alignment horizontal="left" vertical="center" indent="2" shrinkToFit="1"/>
    </xf>
    <xf numFmtId="0" fontId="29" fillId="27" borderId="6" xfId="9" applyFont="1" applyFill="1" applyBorder="1" applyAlignment="1">
      <alignment horizontal="left" vertical="center" indent="2" shrinkToFit="1"/>
    </xf>
    <xf numFmtId="0" fontId="29" fillId="0" borderId="45" xfId="9" applyFont="1" applyBorder="1" applyAlignment="1">
      <alignment horizontal="center"/>
    </xf>
    <xf numFmtId="0" fontId="29" fillId="0" borderId="6" xfId="9" applyFont="1" applyBorder="1" applyAlignment="1">
      <alignment horizontal="center"/>
    </xf>
    <xf numFmtId="0" fontId="29" fillId="27" borderId="60" xfId="9" applyFont="1" applyFill="1" applyBorder="1" applyAlignment="1">
      <alignment horizontal="left" vertical="center" indent="2"/>
    </xf>
    <xf numFmtId="0" fontId="29" fillId="27" borderId="6" xfId="9" applyFont="1" applyFill="1" applyBorder="1" applyAlignment="1">
      <alignment horizontal="left" vertical="center" indent="2"/>
    </xf>
    <xf numFmtId="0" fontId="29" fillId="0" borderId="7" xfId="9" applyFont="1" applyBorder="1" applyAlignment="1">
      <alignment horizontal="center"/>
    </xf>
    <xf numFmtId="0" fontId="29" fillId="0" borderId="8" xfId="9" applyFont="1" applyBorder="1" applyAlignment="1">
      <alignment horizontal="center"/>
    </xf>
    <xf numFmtId="0" fontId="29" fillId="0" borderId="9" xfId="9" applyFont="1" applyBorder="1" applyAlignment="1">
      <alignment horizontal="center"/>
    </xf>
    <xf numFmtId="0" fontId="34" fillId="28" borderId="0" xfId="9" applyFont="1" applyFill="1" applyAlignment="1">
      <alignment horizontal="center"/>
    </xf>
    <xf numFmtId="0" fontId="34" fillId="28" borderId="4" xfId="9" applyFont="1" applyFill="1" applyBorder="1" applyAlignment="1">
      <alignment horizontal="center"/>
    </xf>
    <xf numFmtId="0" fontId="28" fillId="27" borderId="1" xfId="9" applyFont="1" applyFill="1" applyBorder="1" applyAlignment="1">
      <alignment horizontal="right" vertical="center" wrapText="1" indent="1"/>
    </xf>
    <xf numFmtId="0" fontId="28" fillId="27" borderId="2" xfId="9" applyFont="1" applyFill="1" applyBorder="1" applyAlignment="1">
      <alignment horizontal="right" vertical="center" wrapText="1" indent="1"/>
    </xf>
    <xf numFmtId="0" fontId="28" fillId="27" borderId="52" xfId="9" applyFont="1" applyFill="1" applyBorder="1" applyAlignment="1">
      <alignment horizontal="right" vertical="center" wrapText="1" indent="1"/>
    </xf>
    <xf numFmtId="0" fontId="28" fillId="27" borderId="51" xfId="9" applyFont="1" applyFill="1" applyBorder="1" applyAlignment="1">
      <alignment horizontal="right" vertical="center" wrapText="1" indent="1"/>
    </xf>
    <xf numFmtId="0" fontId="28" fillId="27" borderId="33" xfId="9" applyFont="1" applyFill="1" applyBorder="1" applyAlignment="1">
      <alignment horizontal="right" vertical="center" wrapText="1" indent="1"/>
    </xf>
    <xf numFmtId="0" fontId="28" fillId="27" borderId="39" xfId="9" applyFont="1" applyFill="1" applyBorder="1" applyAlignment="1">
      <alignment horizontal="right" vertical="center" wrapText="1" indent="1"/>
    </xf>
    <xf numFmtId="0" fontId="28" fillId="27" borderId="50" xfId="9" applyFont="1" applyFill="1" applyBorder="1" applyAlignment="1">
      <alignment horizontal="right" vertical="center" wrapText="1" indent="1"/>
    </xf>
    <xf numFmtId="0" fontId="28" fillId="27" borderId="49" xfId="9" applyFont="1" applyFill="1" applyBorder="1" applyAlignment="1">
      <alignment horizontal="right" vertical="center" wrapText="1" indent="1"/>
    </xf>
    <xf numFmtId="0" fontId="28" fillId="27" borderId="5" xfId="9" applyFont="1" applyFill="1" applyBorder="1" applyAlignment="1">
      <alignment horizontal="right" vertical="center" wrapText="1" indent="1"/>
    </xf>
    <xf numFmtId="0" fontId="28" fillId="27" borderId="6" xfId="9" applyFont="1" applyFill="1" applyBorder="1" applyAlignment="1">
      <alignment horizontal="right" vertical="center" wrapText="1" indent="1"/>
    </xf>
    <xf numFmtId="0" fontId="32" fillId="26" borderId="7" xfId="9" applyFont="1" applyFill="1" applyBorder="1" applyAlignment="1">
      <alignment horizontal="center"/>
    </xf>
    <xf numFmtId="0" fontId="32" fillId="26" borderId="9" xfId="9" applyFont="1" applyFill="1" applyBorder="1" applyAlignment="1">
      <alignment horizontal="center"/>
    </xf>
    <xf numFmtId="0" fontId="28" fillId="27" borderId="48" xfId="9" applyFont="1" applyFill="1" applyBorder="1" applyAlignment="1">
      <alignment horizontal="right" vertical="center" wrapText="1" indent="1"/>
    </xf>
    <xf numFmtId="0" fontId="28" fillId="27" borderId="41" xfId="9" applyFont="1" applyFill="1" applyBorder="1" applyAlignment="1">
      <alignment horizontal="right" vertical="center" wrapText="1" indent="1"/>
    </xf>
    <xf numFmtId="0" fontId="33" fillId="27" borderId="55" xfId="9" applyFont="1" applyFill="1" applyBorder="1" applyAlignment="1">
      <alignment horizontal="left" indent="1"/>
    </xf>
    <xf numFmtId="0" fontId="33" fillId="27" borderId="50" xfId="9" applyFont="1" applyFill="1" applyBorder="1" applyAlignment="1">
      <alignment horizontal="left" vertical="center" wrapText="1" indent="1"/>
    </xf>
    <xf numFmtId="0" fontId="33" fillId="27" borderId="15" xfId="9" applyFont="1" applyFill="1" applyBorder="1" applyAlignment="1">
      <alignment horizontal="left" vertical="center" wrapText="1" indent="1"/>
    </xf>
    <xf numFmtId="0" fontId="33" fillId="27" borderId="49" xfId="9" applyFont="1" applyFill="1" applyBorder="1" applyAlignment="1">
      <alignment horizontal="left" vertical="center" wrapText="1" indent="1"/>
    </xf>
    <xf numFmtId="0" fontId="33" fillId="27" borderId="3" xfId="9" applyFont="1" applyFill="1" applyBorder="1" applyAlignment="1">
      <alignment horizontal="left" vertical="center" wrapText="1" indent="1"/>
    </xf>
    <xf numFmtId="0" fontId="33" fillId="27" borderId="0" xfId="9" applyFont="1" applyFill="1" applyAlignment="1">
      <alignment horizontal="left" vertical="center" wrapText="1" indent="1"/>
    </xf>
    <xf numFmtId="0" fontId="33" fillId="27" borderId="4" xfId="9" applyFont="1" applyFill="1" applyBorder="1" applyAlignment="1">
      <alignment horizontal="left" vertical="center" wrapText="1" indent="1"/>
    </xf>
    <xf numFmtId="0" fontId="33" fillId="27" borderId="5" xfId="9" applyFont="1" applyFill="1" applyBorder="1" applyAlignment="1">
      <alignment horizontal="left" vertical="center" wrapText="1" indent="1"/>
    </xf>
    <xf numFmtId="0" fontId="33" fillId="27" borderId="45" xfId="9" applyFont="1" applyFill="1" applyBorder="1" applyAlignment="1">
      <alignment horizontal="left" vertical="center" wrapText="1" indent="1"/>
    </xf>
    <xf numFmtId="0" fontId="33" fillId="27" borderId="6" xfId="9" applyFont="1" applyFill="1" applyBorder="1" applyAlignment="1">
      <alignment horizontal="left" vertical="center" wrapText="1" indent="1"/>
    </xf>
    <xf numFmtId="0" fontId="31" fillId="26" borderId="7" xfId="9" applyFont="1" applyFill="1" applyBorder="1" applyAlignment="1">
      <alignment horizontal="center" vertical="center"/>
    </xf>
    <xf numFmtId="0" fontId="31" fillId="26" borderId="8" xfId="9" applyFont="1" applyFill="1" applyBorder="1" applyAlignment="1">
      <alignment horizontal="center" vertical="center"/>
    </xf>
    <xf numFmtId="0" fontId="31" fillId="26" borderId="9" xfId="9" applyFont="1" applyFill="1" applyBorder="1" applyAlignment="1">
      <alignment horizontal="center" vertical="center"/>
    </xf>
    <xf numFmtId="0" fontId="29" fillId="27" borderId="14" xfId="9" applyFont="1" applyFill="1" applyBorder="1" applyAlignment="1">
      <alignment horizontal="left" vertical="center" indent="2"/>
    </xf>
    <xf numFmtId="0" fontId="29" fillId="27" borderId="49" xfId="9" applyFont="1" applyFill="1" applyBorder="1" applyAlignment="1">
      <alignment horizontal="left" vertical="center" indent="2"/>
    </xf>
    <xf numFmtId="0" fontId="36" fillId="3" borderId="59" xfId="9" applyFont="1" applyFill="1" applyBorder="1" applyAlignment="1">
      <alignment horizontal="left" vertical="center" shrinkToFit="1"/>
    </xf>
    <xf numFmtId="0" fontId="36" fillId="3" borderId="36" xfId="9" applyFont="1" applyFill="1" applyBorder="1" applyAlignment="1">
      <alignment horizontal="left" vertical="center" shrinkToFit="1"/>
    </xf>
    <xf numFmtId="0" fontId="35" fillId="26" borderId="7" xfId="9" applyFont="1" applyFill="1" applyBorder="1" applyAlignment="1">
      <alignment horizontal="center" vertical="center" wrapText="1"/>
    </xf>
    <xf numFmtId="0" fontId="35" fillId="26" borderId="8" xfId="9" applyFont="1" applyFill="1" applyBorder="1" applyAlignment="1">
      <alignment horizontal="center" vertical="center" wrapText="1"/>
    </xf>
    <xf numFmtId="0" fontId="35" fillId="26" borderId="9" xfId="9" applyFont="1" applyFill="1" applyBorder="1" applyAlignment="1">
      <alignment horizontal="center" vertical="center" wrapText="1"/>
    </xf>
    <xf numFmtId="0" fontId="45" fillId="31" borderId="7" xfId="9" applyFont="1" applyFill="1" applyBorder="1" applyAlignment="1">
      <alignment horizontal="center" vertical="center" shrinkToFit="1"/>
    </xf>
    <xf numFmtId="0" fontId="45" fillId="31" borderId="8" xfId="9" applyFont="1" applyFill="1" applyBorder="1" applyAlignment="1">
      <alignment horizontal="center" vertical="center" shrinkToFit="1"/>
    </xf>
    <xf numFmtId="0" fontId="45" fillId="31" borderId="9" xfId="9" applyFont="1" applyFill="1" applyBorder="1" applyAlignment="1">
      <alignment horizontal="center" vertical="center" shrinkToFit="1"/>
    </xf>
    <xf numFmtId="0" fontId="28" fillId="0" borderId="55" xfId="9" applyFont="1" applyBorder="1" applyAlignment="1">
      <alignment horizontal="left" indent="2"/>
    </xf>
    <xf numFmtId="0" fontId="28" fillId="0" borderId="42" xfId="9" applyFont="1" applyBorder="1" applyAlignment="1">
      <alignment horizontal="left" indent="2"/>
    </xf>
    <xf numFmtId="43" fontId="39" fillId="27" borderId="11" xfId="12" applyFont="1" applyFill="1" applyBorder="1" applyAlignment="1">
      <alignment horizontal="center" vertical="center" shrinkToFit="1"/>
    </xf>
    <xf numFmtId="43" fontId="39" fillId="27" borderId="37" xfId="12" applyFont="1" applyFill="1" applyBorder="1" applyAlignment="1">
      <alignment horizontal="center" vertical="center" shrinkToFit="1"/>
    </xf>
    <xf numFmtId="0" fontId="28" fillId="0" borderId="8" xfId="9" applyFont="1" applyBorder="1" applyAlignment="1">
      <alignment horizontal="left"/>
    </xf>
    <xf numFmtId="167" fontId="39" fillId="27" borderId="58" xfId="9" applyNumberFormat="1" applyFont="1" applyFill="1" applyBorder="1" applyAlignment="1">
      <alignment horizontal="center" vertical="center" shrinkToFit="1"/>
    </xf>
    <xf numFmtId="167" fontId="39" fillId="27" borderId="42" xfId="9" applyNumberFormat="1" applyFont="1" applyFill="1" applyBorder="1" applyAlignment="1">
      <alignment horizontal="center" vertical="center" shrinkToFit="1"/>
    </xf>
    <xf numFmtId="164" fontId="39" fillId="27" borderId="37" xfId="9" applyNumberFormat="1" applyFont="1" applyFill="1" applyBorder="1" applyAlignment="1">
      <alignment horizontal="center" vertical="center" shrinkToFit="1"/>
    </xf>
    <xf numFmtId="0" fontId="34" fillId="30" borderId="1" xfId="9" applyFont="1" applyFill="1" applyBorder="1" applyAlignment="1">
      <alignment horizontal="center"/>
    </xf>
    <xf numFmtId="0" fontId="34" fillId="30" borderId="35" xfId="9" applyFont="1" applyFill="1" applyBorder="1" applyAlignment="1">
      <alignment horizontal="center"/>
    </xf>
    <xf numFmtId="0" fontId="34" fillId="30" borderId="2" xfId="9" applyFont="1" applyFill="1" applyBorder="1" applyAlignment="1">
      <alignment horizontal="center"/>
    </xf>
    <xf numFmtId="0" fontId="29" fillId="0" borderId="10" xfId="9" applyFont="1" applyBorder="1" applyAlignment="1">
      <alignment horizontal="left" vertical="center" indent="1"/>
    </xf>
    <xf numFmtId="0" fontId="34" fillId="26" borderId="52" xfId="9" applyFont="1" applyFill="1" applyBorder="1" applyAlignment="1">
      <alignment horizontal="center"/>
    </xf>
    <xf numFmtId="0" fontId="34" fillId="26" borderId="20" xfId="9" applyFont="1" applyFill="1" applyBorder="1" applyAlignment="1">
      <alignment horizontal="center"/>
    </xf>
    <xf numFmtId="0" fontId="12" fillId="22" borderId="10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15" fillId="22" borderId="10" xfId="13" applyFont="1" applyFill="1" applyBorder="1" applyAlignment="1">
      <alignment horizontal="center" vertical="center" wrapText="1"/>
    </xf>
    <xf numFmtId="44" fontId="27" fillId="0" borderId="78" xfId="9" applyNumberFormat="1" applyBorder="1" applyAlignment="1">
      <alignment horizontal="center" vertical="center" wrapText="1"/>
    </xf>
    <xf numFmtId="44" fontId="27" fillId="0" borderId="75" xfId="9" applyNumberFormat="1" applyBorder="1" applyAlignment="1">
      <alignment horizontal="center" vertical="center" wrapText="1"/>
    </xf>
    <xf numFmtId="0" fontId="3" fillId="0" borderId="50" xfId="13" applyBorder="1" applyAlignment="1">
      <alignment horizontal="left" vertical="center" wrapText="1" indent="3"/>
    </xf>
    <xf numFmtId="0" fontId="3" fillId="0" borderId="15" xfId="13" applyBorder="1" applyAlignment="1">
      <alignment horizontal="left" vertical="center" wrapText="1" indent="3"/>
    </xf>
    <xf numFmtId="0" fontId="3" fillId="0" borderId="16" xfId="13" applyBorder="1" applyAlignment="1">
      <alignment horizontal="left" vertical="center" wrapText="1" indent="3"/>
    </xf>
    <xf numFmtId="0" fontId="3" fillId="0" borderId="52" xfId="13" applyBorder="1" applyAlignment="1">
      <alignment horizontal="left" vertical="center" wrapText="1" indent="3"/>
    </xf>
    <xf numFmtId="0" fontId="3" fillId="0" borderId="20" xfId="13" applyBorder="1" applyAlignment="1">
      <alignment horizontal="left" vertical="center" wrapText="1" indent="3"/>
    </xf>
    <xf numFmtId="0" fontId="3" fillId="0" borderId="23" xfId="13" applyBorder="1" applyAlignment="1">
      <alignment horizontal="left" vertical="center" wrapText="1" indent="3"/>
    </xf>
    <xf numFmtId="10" fontId="3" fillId="0" borderId="77" xfId="13" applyNumberFormat="1" applyBorder="1" applyAlignment="1">
      <alignment horizontal="center" vertical="center" wrapText="1"/>
    </xf>
    <xf numFmtId="10" fontId="3" fillId="0" borderId="74" xfId="13" applyNumberFormat="1" applyBorder="1" applyAlignment="1">
      <alignment horizontal="center" vertical="center" wrapText="1"/>
    </xf>
    <xf numFmtId="0" fontId="26" fillId="17" borderId="67" xfId="9" applyFont="1" applyFill="1" applyBorder="1" applyAlignment="1">
      <alignment horizontal="left" vertical="center" wrapText="1" indent="1"/>
    </xf>
    <xf numFmtId="0" fontId="26" fillId="17" borderId="66" xfId="9" applyFont="1" applyFill="1" applyBorder="1" applyAlignment="1">
      <alignment horizontal="left" vertical="center" wrapText="1" indent="1"/>
    </xf>
    <xf numFmtId="0" fontId="26" fillId="17" borderId="36" xfId="9" applyFont="1" applyFill="1" applyBorder="1" applyAlignment="1">
      <alignment horizontal="left" vertical="center" wrapText="1" indent="1"/>
    </xf>
    <xf numFmtId="0" fontId="26" fillId="0" borderId="62" xfId="9" applyFont="1" applyBorder="1" applyAlignment="1">
      <alignment horizontal="center" vertical="center" wrapText="1"/>
    </xf>
    <xf numFmtId="0" fontId="26" fillId="0" borderId="65" xfId="9" applyFont="1" applyBorder="1" applyAlignment="1">
      <alignment horizontal="center" vertical="center" wrapText="1"/>
    </xf>
    <xf numFmtId="44" fontId="27" fillId="0" borderId="78" xfId="9" applyNumberFormat="1" applyBorder="1" applyAlignment="1">
      <alignment vertical="center" wrapText="1"/>
    </xf>
    <xf numFmtId="44" fontId="27" fillId="0" borderId="75" xfId="9" applyNumberFormat="1" applyBorder="1" applyAlignment="1">
      <alignment vertical="center" wrapText="1"/>
    </xf>
    <xf numFmtId="44" fontId="27" fillId="0" borderId="14" xfId="9" applyNumberFormat="1" applyBorder="1" applyAlignment="1">
      <alignment vertical="center" wrapText="1"/>
    </xf>
    <xf numFmtId="44" fontId="27" fillId="0" borderId="19" xfId="9" applyNumberFormat="1" applyBorder="1" applyAlignment="1">
      <alignment vertical="center" wrapText="1"/>
    </xf>
    <xf numFmtId="44" fontId="27" fillId="0" borderId="60" xfId="9" applyNumberFormat="1" applyBorder="1" applyAlignment="1">
      <alignment vertical="center" wrapText="1"/>
    </xf>
    <xf numFmtId="44" fontId="26" fillId="0" borderId="71" xfId="9" applyNumberFormat="1" applyFont="1" applyBorder="1" applyAlignment="1">
      <alignment vertical="center" wrapText="1"/>
    </xf>
    <xf numFmtId="44" fontId="26" fillId="0" borderId="70" xfId="9" applyNumberFormat="1" applyFont="1" applyBorder="1" applyAlignment="1">
      <alignment vertical="center" wrapText="1"/>
    </xf>
    <xf numFmtId="9" fontId="26" fillId="0" borderId="7" xfId="9" applyNumberFormat="1" applyFont="1" applyBorder="1" applyAlignment="1">
      <alignment horizontal="center" vertical="center" wrapText="1"/>
    </xf>
    <xf numFmtId="9" fontId="26" fillId="0" borderId="9" xfId="9" applyNumberFormat="1" applyFont="1" applyBorder="1" applyAlignment="1">
      <alignment horizontal="center" vertical="center" wrapText="1"/>
    </xf>
    <xf numFmtId="0" fontId="39" fillId="0" borderId="65" xfId="9" applyFont="1" applyBorder="1" applyAlignment="1">
      <alignment horizontal="center" vertical="center" wrapText="1"/>
    </xf>
    <xf numFmtId="0" fontId="39" fillId="0" borderId="69" xfId="9" applyFont="1" applyBorder="1" applyAlignment="1">
      <alignment horizontal="center" vertical="center" wrapText="1"/>
    </xf>
    <xf numFmtId="44" fontId="27" fillId="0" borderId="16" xfId="9" applyNumberFormat="1" applyBorder="1" applyAlignment="1">
      <alignment vertical="center" wrapText="1"/>
    </xf>
    <xf numFmtId="44" fontId="27" fillId="0" borderId="23" xfId="9" applyNumberFormat="1" applyBorder="1" applyAlignment="1">
      <alignment vertical="center" wrapText="1"/>
    </xf>
    <xf numFmtId="0" fontId="39" fillId="0" borderId="7" xfId="9" applyFont="1" applyBorder="1" applyAlignment="1">
      <alignment horizontal="center" vertical="center" wrapText="1"/>
    </xf>
    <xf numFmtId="0" fontId="39" fillId="0" borderId="9" xfId="9" applyFont="1" applyBorder="1" applyAlignment="1">
      <alignment horizontal="center" vertical="center" wrapText="1"/>
    </xf>
    <xf numFmtId="0" fontId="50" fillId="26" borderId="0" xfId="9" applyFont="1" applyFill="1" applyAlignment="1">
      <alignment horizontal="center" vertical="center"/>
    </xf>
    <xf numFmtId="38" fontId="49" fillId="0" borderId="59" xfId="9" applyNumberFormat="1" applyFont="1" applyBorder="1" applyAlignment="1">
      <alignment horizontal="center" vertical="center"/>
    </xf>
    <xf numFmtId="38" fontId="49" fillId="0" borderId="76" xfId="9" applyNumberFormat="1" applyFont="1" applyBorder="1" applyAlignment="1">
      <alignment horizontal="center" vertical="center"/>
    </xf>
    <xf numFmtId="44" fontId="27" fillId="0" borderId="77" xfId="9" applyNumberFormat="1" applyBorder="1" applyAlignment="1">
      <alignment vertical="center" wrapText="1"/>
    </xf>
    <xf numFmtId="44" fontId="27" fillId="0" borderId="72" xfId="9" applyNumberFormat="1" applyBorder="1" applyAlignment="1">
      <alignment vertical="center" wrapText="1"/>
    </xf>
    <xf numFmtId="0" fontId="0" fillId="0" borderId="50" xfId="13" applyFont="1" applyBorder="1" applyAlignment="1">
      <alignment horizontal="left" vertical="center" wrapText="1" indent="3"/>
    </xf>
    <xf numFmtId="38" fontId="49" fillId="0" borderId="11" xfId="9" applyNumberFormat="1" applyFont="1" applyBorder="1" applyAlignment="1">
      <alignment horizontal="center" vertical="center"/>
    </xf>
    <xf numFmtId="38" fontId="49" fillId="0" borderId="22" xfId="9" applyNumberFormat="1" applyFont="1" applyBorder="1" applyAlignment="1">
      <alignment horizontal="center" vertical="center"/>
    </xf>
    <xf numFmtId="38" fontId="49" fillId="0" borderId="58" xfId="9" applyNumberFormat="1" applyFont="1" applyBorder="1" applyAlignment="1">
      <alignment horizontal="center" vertical="center"/>
    </xf>
    <xf numFmtId="38" fontId="49" fillId="0" borderId="79" xfId="9" applyNumberFormat="1" applyFont="1" applyBorder="1" applyAlignment="1">
      <alignment horizontal="center" vertical="center"/>
    </xf>
    <xf numFmtId="38" fontId="43" fillId="0" borderId="65" xfId="9" applyNumberFormat="1" applyFont="1" applyBorder="1" applyAlignment="1">
      <alignment horizontal="center" vertical="center"/>
    </xf>
    <xf numFmtId="38" fontId="43" fillId="0" borderId="69" xfId="9" applyNumberFormat="1" applyFont="1" applyBorder="1" applyAlignment="1">
      <alignment horizontal="center" vertical="center"/>
    </xf>
    <xf numFmtId="38" fontId="49" fillId="0" borderId="36" xfId="9" applyNumberFormat="1" applyFont="1" applyBorder="1" applyAlignment="1">
      <alignment horizontal="center" vertical="center"/>
    </xf>
    <xf numFmtId="38" fontId="49" fillId="0" borderId="37" xfId="9" applyNumberFormat="1" applyFont="1" applyBorder="1" applyAlignment="1">
      <alignment horizontal="center" vertical="center"/>
    </xf>
    <xf numFmtId="10" fontId="3" fillId="0" borderId="77" xfId="10" applyNumberFormat="1" applyFont="1" applyBorder="1" applyAlignment="1">
      <alignment horizontal="center" vertical="center" wrapText="1"/>
    </xf>
    <xf numFmtId="10" fontId="3" fillId="0" borderId="74" xfId="10" applyNumberFormat="1" applyFont="1" applyBorder="1" applyAlignment="1">
      <alignment horizontal="center" vertical="center" wrapText="1"/>
    </xf>
    <xf numFmtId="0" fontId="26" fillId="33" borderId="7" xfId="15" applyFont="1" applyFill="1" applyBorder="1" applyAlignment="1">
      <alignment horizontal="center" vertical="center" wrapText="1" shrinkToFit="1"/>
    </xf>
    <xf numFmtId="0" fontId="26" fillId="33" borderId="8" xfId="15" applyFont="1" applyFill="1" applyBorder="1" applyAlignment="1">
      <alignment horizontal="center" vertical="center" wrapText="1" shrinkToFit="1"/>
    </xf>
    <xf numFmtId="0" fontId="26" fillId="33" borderId="9" xfId="15" applyFont="1" applyFill="1" applyBorder="1" applyAlignment="1">
      <alignment horizontal="center" vertical="center" wrapText="1" shrinkToFit="1"/>
    </xf>
    <xf numFmtId="0" fontId="5" fillId="7" borderId="7" xfId="13" applyFont="1" applyFill="1" applyBorder="1" applyAlignment="1">
      <alignment vertical="center" wrapText="1"/>
    </xf>
    <xf numFmtId="0" fontId="5" fillId="7" borderId="8" xfId="13" applyFont="1" applyFill="1" applyBorder="1" applyAlignment="1">
      <alignment vertical="center" wrapText="1"/>
    </xf>
    <xf numFmtId="0" fontId="5" fillId="7" borderId="45" xfId="13" applyFont="1" applyFill="1" applyBorder="1" applyAlignment="1">
      <alignment vertical="center" wrapText="1"/>
    </xf>
    <xf numFmtId="0" fontId="5" fillId="7" borderId="9" xfId="13" applyFont="1" applyFill="1" applyBorder="1" applyAlignment="1">
      <alignment vertical="center" wrapText="1"/>
    </xf>
    <xf numFmtId="0" fontId="5" fillId="6" borderId="7" xfId="13" applyFont="1" applyFill="1" applyBorder="1" applyAlignment="1">
      <alignment vertical="center" wrapText="1"/>
    </xf>
    <xf numFmtId="0" fontId="5" fillId="6" borderId="8" xfId="13" applyFont="1" applyFill="1" applyBorder="1" applyAlignment="1">
      <alignment vertical="center" wrapText="1"/>
    </xf>
    <xf numFmtId="0" fontId="5" fillId="6" borderId="9" xfId="13" applyFont="1" applyFill="1" applyBorder="1" applyAlignment="1">
      <alignment vertical="center" wrapText="1"/>
    </xf>
    <xf numFmtId="0" fontId="3" fillId="0" borderId="49" xfId="13" applyBorder="1" applyAlignment="1">
      <alignment horizontal="left" vertical="center" wrapText="1" indent="3"/>
    </xf>
    <xf numFmtId="0" fontId="3" fillId="0" borderId="64" xfId="13" applyBorder="1" applyAlignment="1">
      <alignment horizontal="left" vertical="center" wrapText="1" indent="3"/>
    </xf>
    <xf numFmtId="0" fontId="3" fillId="0" borderId="21" xfId="13" applyBorder="1" applyAlignment="1">
      <alignment horizontal="left" vertical="center" wrapText="1" indent="3"/>
    </xf>
    <xf numFmtId="0" fontId="3" fillId="0" borderId="37" xfId="13" applyBorder="1" applyAlignment="1">
      <alignment horizontal="left" vertical="center" wrapText="1" indent="3"/>
    </xf>
    <xf numFmtId="0" fontId="3" fillId="0" borderId="67" xfId="13" applyBorder="1" applyAlignment="1">
      <alignment horizontal="left" vertical="center" wrapText="1" indent="3"/>
    </xf>
    <xf numFmtId="0" fontId="3" fillId="0" borderId="66" xfId="13" applyBorder="1" applyAlignment="1">
      <alignment horizontal="left" vertical="center" wrapText="1" indent="3"/>
    </xf>
    <xf numFmtId="0" fontId="3" fillId="0" borderId="36" xfId="13" applyBorder="1" applyAlignment="1">
      <alignment horizontal="left" vertical="center" wrapText="1" indent="3"/>
    </xf>
    <xf numFmtId="0" fontId="3" fillId="0" borderId="5" xfId="13" applyBorder="1" applyAlignment="1">
      <alignment horizontal="left" vertical="center" wrapText="1" indent="3"/>
    </xf>
    <xf numFmtId="0" fontId="3" fillId="0" borderId="45" xfId="13" applyBorder="1" applyAlignment="1">
      <alignment horizontal="left" vertical="center" wrapText="1" indent="3"/>
    </xf>
    <xf numFmtId="0" fontId="3" fillId="0" borderId="73" xfId="13" applyBorder="1" applyAlignment="1">
      <alignment horizontal="left" vertical="center" wrapText="1" indent="3"/>
    </xf>
    <xf numFmtId="169" fontId="3" fillId="0" borderId="49" xfId="13" applyNumberFormat="1" applyBorder="1" applyAlignment="1">
      <alignment horizontal="center" vertical="center" wrapText="1"/>
    </xf>
    <xf numFmtId="169" fontId="3" fillId="0" borderId="6" xfId="13" applyNumberFormat="1" applyBorder="1" applyAlignment="1">
      <alignment horizontal="center" vertical="center" wrapText="1"/>
    </xf>
    <xf numFmtId="0" fontId="26" fillId="17" borderId="64" xfId="9" applyFont="1" applyFill="1" applyBorder="1" applyAlignment="1">
      <alignment horizontal="left" vertical="center" wrapText="1" indent="1"/>
    </xf>
    <xf numFmtId="0" fontId="26" fillId="17" borderId="21" xfId="9" applyFont="1" applyFill="1" applyBorder="1" applyAlignment="1">
      <alignment horizontal="left" vertical="center" wrapText="1" indent="1"/>
    </xf>
    <xf numFmtId="0" fontId="26" fillId="17" borderId="37" xfId="9" applyFont="1" applyFill="1" applyBorder="1" applyAlignment="1">
      <alignment horizontal="left" vertical="center" wrapText="1" indent="1"/>
    </xf>
    <xf numFmtId="0" fontId="0" fillId="0" borderId="64" xfId="13" applyFont="1" applyBorder="1" applyAlignment="1">
      <alignment horizontal="left" vertical="center" wrapText="1" indent="3" shrinkToFit="1"/>
    </xf>
    <xf numFmtId="0" fontId="3" fillId="0" borderId="21" xfId="13" applyBorder="1" applyAlignment="1">
      <alignment horizontal="left" vertical="center" wrapText="1" indent="3" shrinkToFit="1"/>
    </xf>
    <xf numFmtId="0" fontId="3" fillId="0" borderId="37" xfId="13" applyBorder="1" applyAlignment="1">
      <alignment horizontal="left" vertical="center" wrapText="1" indent="3" shrinkToFit="1"/>
    </xf>
    <xf numFmtId="0" fontId="3" fillId="0" borderId="64" xfId="13" applyBorder="1" applyAlignment="1">
      <alignment horizontal="left" vertical="center" wrapText="1" indent="3" shrinkToFit="1"/>
    </xf>
    <xf numFmtId="0" fontId="3" fillId="0" borderId="63" xfId="13" applyBorder="1" applyAlignment="1">
      <alignment horizontal="left" vertical="center" wrapText="1" indent="3"/>
    </xf>
    <xf numFmtId="0" fontId="3" fillId="0" borderId="55" xfId="13" applyBorder="1" applyAlignment="1">
      <alignment horizontal="left" vertical="center" wrapText="1" indent="3"/>
    </xf>
    <xf numFmtId="0" fontId="3" fillId="0" borderId="42" xfId="13" applyBorder="1" applyAlignment="1">
      <alignment horizontal="left" vertical="center" wrapText="1" indent="3"/>
    </xf>
    <xf numFmtId="0" fontId="26" fillId="17" borderId="63" xfId="9" applyFont="1" applyFill="1" applyBorder="1" applyAlignment="1">
      <alignment horizontal="left" vertical="center" wrapText="1" indent="1"/>
    </xf>
    <xf numFmtId="0" fontId="26" fillId="17" borderId="55" xfId="9" applyFont="1" applyFill="1" applyBorder="1" applyAlignment="1">
      <alignment horizontal="left" vertical="center" wrapText="1" indent="1"/>
    </xf>
    <xf numFmtId="0" fontId="26" fillId="17" borderId="42" xfId="9" applyFont="1" applyFill="1" applyBorder="1" applyAlignment="1">
      <alignment horizontal="left" vertical="center" wrapText="1" indent="1"/>
    </xf>
    <xf numFmtId="0" fontId="3" fillId="0" borderId="1" xfId="13" applyBorder="1" applyAlignment="1">
      <alignment horizontal="left" vertical="center" wrapText="1" indent="3"/>
    </xf>
    <xf numFmtId="0" fontId="3" fillId="0" borderId="35" xfId="13" applyBorder="1" applyAlignment="1">
      <alignment horizontal="left" vertical="center" wrapText="1" indent="3"/>
    </xf>
    <xf numFmtId="0" fontId="27" fillId="0" borderId="67" xfId="9" applyBorder="1" applyAlignment="1">
      <alignment horizontal="left" vertical="center" wrapText="1" indent="3"/>
    </xf>
    <xf numFmtId="0" fontId="27" fillId="0" borderId="66" xfId="9" applyBorder="1" applyAlignment="1">
      <alignment horizontal="left" vertical="center" wrapText="1" indent="3"/>
    </xf>
    <xf numFmtId="0" fontId="27" fillId="0" borderId="36" xfId="9" applyBorder="1" applyAlignment="1">
      <alignment horizontal="left" vertical="center" wrapText="1" indent="3"/>
    </xf>
    <xf numFmtId="0" fontId="43" fillId="17" borderId="57" xfId="9" applyFont="1" applyFill="1" applyBorder="1" applyAlignment="1">
      <alignment horizontal="center" vertical="center" wrapText="1"/>
    </xf>
    <xf numFmtId="0" fontId="43" fillId="17" borderId="56" xfId="9" applyFont="1" applyFill="1" applyBorder="1" applyAlignment="1">
      <alignment horizontal="center" vertical="center" wrapText="1"/>
    </xf>
    <xf numFmtId="0" fontId="27" fillId="0" borderId="64" xfId="9" quotePrefix="1" applyBorder="1" applyAlignment="1">
      <alignment horizontal="left" vertical="center" indent="1"/>
    </xf>
    <xf numFmtId="0" fontId="27" fillId="0" borderId="22" xfId="9" quotePrefix="1" applyBorder="1" applyAlignment="1">
      <alignment horizontal="left" vertical="center" indent="1"/>
    </xf>
    <xf numFmtId="38" fontId="49" fillId="0" borderId="42" xfId="9" applyNumberFormat="1" applyFont="1" applyBorder="1" applyAlignment="1">
      <alignment horizontal="center" vertical="center"/>
    </xf>
    <xf numFmtId="38" fontId="43" fillId="0" borderId="9" xfId="9" applyNumberFormat="1" applyFont="1" applyBorder="1" applyAlignment="1">
      <alignment horizontal="center" vertical="center"/>
    </xf>
    <xf numFmtId="0" fontId="26" fillId="0" borderId="69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26" fillId="0" borderId="7" xfId="9" applyFont="1" applyBorder="1" applyAlignment="1">
      <alignment horizontal="center" vertical="center" wrapText="1"/>
    </xf>
    <xf numFmtId="0" fontId="26" fillId="0" borderId="9" xfId="9" applyFont="1" applyBorder="1" applyAlignment="1">
      <alignment horizontal="center" vertical="center" wrapText="1"/>
    </xf>
    <xf numFmtId="0" fontId="27" fillId="0" borderId="63" xfId="9" applyBorder="1" applyAlignment="1">
      <alignment horizontal="left" vertical="center" indent="1"/>
    </xf>
    <xf numFmtId="0" fontId="27" fillId="0" borderId="79" xfId="9" applyBorder="1" applyAlignment="1">
      <alignment horizontal="left" vertical="center" indent="1"/>
    </xf>
    <xf numFmtId="0" fontId="26" fillId="6" borderId="7" xfId="9" applyFont="1" applyFill="1" applyBorder="1" applyAlignment="1">
      <alignment horizontal="center"/>
    </xf>
    <xf numFmtId="0" fontId="26" fillId="6" borderId="8" xfId="9" applyFont="1" applyFill="1" applyBorder="1" applyAlignment="1">
      <alignment horizontal="center"/>
    </xf>
    <xf numFmtId="0" fontId="26" fillId="6" borderId="9" xfId="9" applyFont="1" applyFill="1" applyBorder="1" applyAlignment="1">
      <alignment horizontal="center"/>
    </xf>
    <xf numFmtId="44" fontId="27" fillId="0" borderId="74" xfId="9" applyNumberFormat="1" applyBorder="1" applyAlignment="1">
      <alignment vertical="center" wrapText="1"/>
    </xf>
    <xf numFmtId="0" fontId="2" fillId="12" borderId="11" xfId="4" applyFont="1" applyFill="1" applyBorder="1" applyAlignment="1">
      <alignment horizontal="center" vertical="center" wrapText="1"/>
    </xf>
    <xf numFmtId="0" fontId="2" fillId="12" borderId="21" xfId="4" applyFont="1" applyFill="1" applyBorder="1" applyAlignment="1">
      <alignment horizontal="center" vertical="center" wrapText="1"/>
    </xf>
    <xf numFmtId="0" fontId="2" fillId="12" borderId="22" xfId="4" applyFont="1" applyFill="1" applyBorder="1" applyAlignment="1">
      <alignment horizontal="center" vertical="center" wrapText="1"/>
    </xf>
    <xf numFmtId="0" fontId="5" fillId="16" borderId="14" xfId="4" applyFont="1" applyFill="1" applyBorder="1" applyAlignment="1">
      <alignment horizontal="center"/>
    </xf>
    <xf numFmtId="0" fontId="5" fillId="16" borderId="15" xfId="4" applyFont="1" applyFill="1" applyBorder="1" applyAlignment="1">
      <alignment horizontal="center"/>
    </xf>
    <xf numFmtId="0" fontId="5" fillId="16" borderId="16" xfId="4" applyFont="1" applyFill="1" applyBorder="1" applyAlignment="1">
      <alignment horizontal="center"/>
    </xf>
    <xf numFmtId="0" fontId="5" fillId="16" borderId="24" xfId="4" applyFont="1" applyFill="1" applyBorder="1" applyAlignment="1">
      <alignment horizontal="center"/>
    </xf>
    <xf numFmtId="0" fontId="5" fillId="16" borderId="0" xfId="4" applyFont="1" applyFill="1" applyAlignment="1">
      <alignment horizontal="center"/>
    </xf>
    <xf numFmtId="0" fontId="5" fillId="16" borderId="25" xfId="4" applyFont="1" applyFill="1" applyBorder="1" applyAlignment="1">
      <alignment horizontal="center"/>
    </xf>
    <xf numFmtId="0" fontId="5" fillId="16" borderId="19" xfId="4" applyFont="1" applyFill="1" applyBorder="1" applyAlignment="1">
      <alignment horizontal="center"/>
    </xf>
    <xf numFmtId="0" fontId="5" fillId="16" borderId="20" xfId="4" applyFont="1" applyFill="1" applyBorder="1" applyAlignment="1">
      <alignment horizontal="center"/>
    </xf>
    <xf numFmtId="0" fontId="5" fillId="16" borderId="23" xfId="4" applyFont="1" applyFill="1" applyBorder="1" applyAlignment="1">
      <alignment horizontal="center"/>
    </xf>
    <xf numFmtId="0" fontId="18" fillId="12" borderId="11" xfId="4" applyFont="1" applyFill="1" applyBorder="1" applyAlignment="1">
      <alignment horizontal="center" vertical="center"/>
    </xf>
    <xf numFmtId="0" fontId="18" fillId="12" borderId="21" xfId="4" applyFont="1" applyFill="1" applyBorder="1" applyAlignment="1">
      <alignment horizontal="center" vertical="center"/>
    </xf>
    <xf numFmtId="0" fontId="14" fillId="17" borderId="14" xfId="4" applyFont="1" applyFill="1" applyBorder="1" applyAlignment="1">
      <alignment horizontal="left" vertical="top" wrapText="1"/>
    </xf>
    <xf numFmtId="0" fontId="14" fillId="17" borderId="15" xfId="4" applyFont="1" applyFill="1" applyBorder="1" applyAlignment="1">
      <alignment horizontal="left" vertical="top" wrapText="1"/>
    </xf>
    <xf numFmtId="0" fontId="14" fillId="17" borderId="16" xfId="4" applyFont="1" applyFill="1" applyBorder="1" applyAlignment="1">
      <alignment horizontal="left" vertical="top" wrapText="1"/>
    </xf>
    <xf numFmtId="0" fontId="14" fillId="17" borderId="19" xfId="4" applyFont="1" applyFill="1" applyBorder="1" applyAlignment="1">
      <alignment horizontal="left" vertical="top" wrapText="1"/>
    </xf>
    <xf numFmtId="0" fontId="14" fillId="17" borderId="20" xfId="4" applyFont="1" applyFill="1" applyBorder="1" applyAlignment="1">
      <alignment horizontal="left" vertical="top" wrapText="1"/>
    </xf>
    <xf numFmtId="0" fontId="14" fillId="17" borderId="23" xfId="4" applyFont="1" applyFill="1" applyBorder="1" applyAlignment="1">
      <alignment horizontal="left" vertical="top" wrapText="1"/>
    </xf>
    <xf numFmtId="44" fontId="0" fillId="3" borderId="21" xfId="6" applyFont="1" applyFill="1" applyBorder="1" applyAlignment="1">
      <alignment horizontal="center" vertical="center"/>
    </xf>
    <xf numFmtId="44" fontId="0" fillId="3" borderId="22" xfId="6" applyFont="1" applyFill="1" applyBorder="1" applyAlignment="1">
      <alignment horizontal="center" vertical="center"/>
    </xf>
    <xf numFmtId="0" fontId="15" fillId="12" borderId="11" xfId="4" applyFont="1" applyFill="1" applyBorder="1" applyAlignment="1">
      <alignment horizontal="center" vertical="center" wrapText="1"/>
    </xf>
    <xf numFmtId="0" fontId="15" fillId="12" borderId="22" xfId="4" applyFont="1" applyFill="1" applyBorder="1" applyAlignment="1">
      <alignment horizontal="center" vertical="center" wrapText="1"/>
    </xf>
    <xf numFmtId="0" fontId="17" fillId="23" borderId="11" xfId="4" applyFont="1" applyFill="1" applyBorder="1" applyAlignment="1">
      <alignment horizontal="center" vertical="center"/>
    </xf>
    <xf numFmtId="0" fontId="17" fillId="23" borderId="21" xfId="4" applyFont="1" applyFill="1" applyBorder="1" applyAlignment="1">
      <alignment horizontal="center" vertical="center"/>
    </xf>
    <xf numFmtId="0" fontId="17" fillId="23" borderId="22" xfId="4" applyFont="1" applyFill="1" applyBorder="1" applyAlignment="1">
      <alignment horizontal="center" vertical="center"/>
    </xf>
    <xf numFmtId="0" fontId="14" fillId="17" borderId="10" xfId="4" applyFont="1" applyFill="1" applyBorder="1" applyAlignment="1">
      <alignment horizontal="left" vertical="top" wrapText="1" indent="1"/>
    </xf>
    <xf numFmtId="0" fontId="6" fillId="21" borderId="14" xfId="4" applyFill="1" applyBorder="1" applyAlignment="1">
      <alignment horizontal="center"/>
    </xf>
    <xf numFmtId="0" fontId="6" fillId="21" borderId="15" xfId="4" applyFill="1" applyBorder="1" applyAlignment="1">
      <alignment horizontal="center"/>
    </xf>
    <xf numFmtId="0" fontId="6" fillId="21" borderId="19" xfId="4" applyFill="1" applyBorder="1" applyAlignment="1">
      <alignment horizontal="center"/>
    </xf>
    <xf numFmtId="0" fontId="6" fillId="21" borderId="20" xfId="4" applyFill="1" applyBorder="1" applyAlignment="1">
      <alignment horizontal="center"/>
    </xf>
    <xf numFmtId="0" fontId="18" fillId="7" borderId="11" xfId="4" applyFont="1" applyFill="1" applyBorder="1" applyAlignment="1">
      <alignment horizontal="center" vertical="center"/>
    </xf>
    <xf numFmtId="0" fontId="18" fillId="7" borderId="21" xfId="4" applyFont="1" applyFill="1" applyBorder="1" applyAlignment="1">
      <alignment horizontal="center" vertical="center"/>
    </xf>
    <xf numFmtId="0" fontId="12" fillId="17" borderId="10" xfId="4" applyFont="1" applyFill="1" applyBorder="1" applyAlignment="1">
      <alignment horizontal="center" vertical="center"/>
    </xf>
    <xf numFmtId="0" fontId="12" fillId="13" borderId="11" xfId="4" applyFont="1" applyFill="1" applyBorder="1" applyAlignment="1">
      <alignment horizontal="center" vertical="center"/>
    </xf>
    <xf numFmtId="0" fontId="12" fillId="13" borderId="21" xfId="4" applyFont="1" applyFill="1" applyBorder="1" applyAlignment="1">
      <alignment horizontal="center" vertical="center"/>
    </xf>
    <xf numFmtId="0" fontId="12" fillId="13" borderId="22" xfId="4" applyFont="1" applyFill="1" applyBorder="1" applyAlignment="1">
      <alignment horizontal="center" vertical="center"/>
    </xf>
    <xf numFmtId="0" fontId="10" fillId="0" borderId="0" xfId="4" applyFont="1" applyAlignment="1">
      <alignment horizontal="left" vertical="top" wrapText="1"/>
    </xf>
    <xf numFmtId="0" fontId="6" fillId="0" borderId="31" xfId="4" applyBorder="1" applyAlignment="1">
      <alignment vertical="top" wrapText="1"/>
    </xf>
    <xf numFmtId="0" fontId="21" fillId="25" borderId="0" xfId="4" applyFont="1" applyFill="1" applyAlignment="1">
      <alignment horizontal="left" vertical="top"/>
    </xf>
    <xf numFmtId="0" fontId="23" fillId="26" borderId="26" xfId="4" applyFont="1" applyFill="1" applyBorder="1" applyAlignment="1">
      <alignment horizontal="right" vertical="center"/>
    </xf>
    <xf numFmtId="0" fontId="23" fillId="26" borderId="27" xfId="4" applyFont="1" applyFill="1" applyBorder="1" applyAlignment="1">
      <alignment horizontal="right" vertical="center"/>
    </xf>
    <xf numFmtId="0" fontId="23" fillId="26" borderId="28" xfId="4" applyFont="1" applyFill="1" applyBorder="1" applyAlignment="1">
      <alignment horizontal="left" vertical="center" indent="1"/>
    </xf>
    <xf numFmtId="0" fontId="8" fillId="6" borderId="11" xfId="4" applyFont="1" applyFill="1" applyBorder="1" applyAlignment="1">
      <alignment horizontal="left" vertical="top"/>
    </xf>
    <xf numFmtId="0" fontId="8" fillId="6" borderId="21" xfId="4" applyFont="1" applyFill="1" applyBorder="1" applyAlignment="1">
      <alignment horizontal="left" vertical="top"/>
    </xf>
    <xf numFmtId="0" fontId="8" fillId="6" borderId="22" xfId="4" applyFont="1" applyFill="1" applyBorder="1" applyAlignment="1">
      <alignment horizontal="left" vertical="top"/>
    </xf>
    <xf numFmtId="0" fontId="0" fillId="34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4" fontId="8" fillId="0" borderId="20" xfId="4" applyNumberFormat="1" applyFont="1" applyBorder="1" applyAlignment="1">
      <alignment horizontal="left"/>
    </xf>
    <xf numFmtId="0" fontId="5" fillId="3" borderId="10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4" applyAlignment="1">
      <alignment horizontal="center"/>
    </xf>
    <xf numFmtId="164" fontId="28" fillId="0" borderId="11" xfId="9" applyNumberFormat="1" applyFont="1" applyBorder="1" applyAlignment="1"/>
    <xf numFmtId="164" fontId="28" fillId="0" borderId="21" xfId="9" applyNumberFormat="1" applyFont="1" applyBorder="1" applyAlignment="1"/>
    <xf numFmtId="164" fontId="28" fillId="0" borderId="14" xfId="9" applyNumberFormat="1" applyFont="1" applyBorder="1" applyAlignment="1"/>
    <xf numFmtId="164" fontId="28" fillId="0" borderId="15" xfId="9" applyNumberFormat="1" applyFont="1" applyBorder="1" applyAlignment="1"/>
    <xf numFmtId="44" fontId="6" fillId="3" borderId="11" xfId="4" applyNumberFormat="1" applyFill="1" applyBorder="1" applyAlignment="1"/>
    <xf numFmtId="44" fontId="6" fillId="3" borderId="22" xfId="4" applyNumberFormat="1" applyFill="1" applyBorder="1" applyAlignment="1"/>
    <xf numFmtId="0" fontId="6" fillId="3" borderId="11" xfId="4" applyFill="1" applyBorder="1" applyAlignment="1"/>
    <xf numFmtId="0" fontId="6" fillId="3" borderId="22" xfId="4" applyFill="1" applyBorder="1" applyAlignment="1"/>
    <xf numFmtId="0" fontId="6" fillId="0" borderId="11" xfId="4" applyBorder="1" applyAlignment="1"/>
    <xf numFmtId="0" fontId="6" fillId="0" borderId="21" xfId="4" applyBorder="1" applyAlignment="1"/>
    <xf numFmtId="0" fontId="6" fillId="0" borderId="22" xfId="4" applyBorder="1" applyAlignment="1"/>
  </cellXfs>
  <cellStyles count="16">
    <cellStyle name="Comma" xfId="1" builtinId="3"/>
    <cellStyle name="Comma 2" xfId="5" xr:uid="{03908F82-A95C-4FB6-A270-61FF77EBBD77}"/>
    <cellStyle name="Comma 3" xfId="12" xr:uid="{013A83F9-A7BA-4ED8-B166-60C159C55BAA}"/>
    <cellStyle name="Currency" xfId="2" builtinId="4"/>
    <cellStyle name="Currency 2" xfId="6" xr:uid="{647C608E-1BE2-4415-A435-EB6CF13C7143}"/>
    <cellStyle name="Currency 3" xfId="14" xr:uid="{5B4C4F6F-0C9B-40DE-B197-C6D7AA4B471E}"/>
    <cellStyle name="Hyperlink" xfId="11" builtinId="8"/>
    <cellStyle name="Normal" xfId="0" builtinId="0"/>
    <cellStyle name="Normal 2" xfId="4" xr:uid="{81C37661-3AFB-459E-88E9-FA273F1856B2}"/>
    <cellStyle name="Normal 2 2" xfId="7" xr:uid="{9D2CE60A-C0A1-4F2C-95C6-5DC15DA177EE}"/>
    <cellStyle name="Normal 2 3" xfId="15" xr:uid="{C36C8B03-D6A9-4C02-9F54-8D2EA1AAE3A5}"/>
    <cellStyle name="Normal 3" xfId="9" xr:uid="{554F865A-DF80-4BF6-AF25-25B9CDA4F046}"/>
    <cellStyle name="Normal 3 2" xfId="13" xr:uid="{E5CB4D65-65F9-474A-AC83-8DF21D7EEA87}"/>
    <cellStyle name="Percent" xfId="3" builtinId="5"/>
    <cellStyle name="Percent 2" xfId="8" xr:uid="{C6A645A8-775E-42CF-B30D-37D16FF3B7D2}"/>
    <cellStyle name="Percent 3" xfId="10" xr:uid="{EA0D3136-E9B4-41F3-8D1C-119E6DFDA866}"/>
  </cellStyles>
  <dxfs count="20">
    <dxf>
      <font>
        <color theme="0"/>
      </font>
      <numFmt numFmtId="164" formatCode="&quot;$&quot;#,##0.00"/>
    </dxf>
    <dxf>
      <font>
        <color theme="0"/>
      </font>
      <numFmt numFmtId="164" formatCode="&quot;$&quot;#,##0.00"/>
    </dxf>
    <dxf>
      <font>
        <color theme="0"/>
      </font>
      <numFmt numFmtId="164" formatCode="&quot;$&quot;#,##0.00"/>
    </dxf>
    <dxf>
      <font>
        <color theme="0"/>
      </font>
      <numFmt numFmtId="164" formatCode="&quot;$&quot;#,##0.00"/>
    </dxf>
    <dxf>
      <font>
        <color theme="0"/>
      </font>
      <numFmt numFmtId="164" formatCode="&quot;$&quot;#,##0.00"/>
    </dxf>
    <dxf>
      <font>
        <color theme="0"/>
      </font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0066"/>
      <color rgb="FFCCE9AD"/>
      <color rgb="FF99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I$3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fmlaLink="$I$4" lockText="1" noThreeD="1"/>
</file>

<file path=xl/ctrlProps/ctrlProp4.xml><?xml version="1.0" encoding="utf-8"?>
<formControlPr xmlns="http://schemas.microsoft.com/office/spreadsheetml/2009/9/main" objectType="CheckBox" checked="Checked" fmlaLink="$I$19" lockText="1" noThreeD="1"/>
</file>

<file path=xl/ctrlProps/ctrlProp5.xml><?xml version="1.0" encoding="utf-8"?>
<formControlPr xmlns="http://schemas.microsoft.com/office/spreadsheetml/2009/9/main" objectType="CheckBox" fmlaLink="$I$6" lockText="1" noThreeD="1"/>
</file>

<file path=xl/ctrlProps/ctrlProp6.xml><?xml version="1.0" encoding="utf-8"?>
<formControlPr xmlns="http://schemas.microsoft.com/office/spreadsheetml/2009/9/main" objectType="CheckBox" fmlaLink="$I$7" lockText="1" noThreeD="1"/>
</file>

<file path=xl/ctrlProps/ctrlProp7.xml><?xml version="1.0" encoding="utf-8"?>
<formControlPr xmlns="http://schemas.microsoft.com/office/spreadsheetml/2009/9/main" objectType="CheckBox" fmlaLink="$I$8" lockText="1" noThreeD="1"/>
</file>

<file path=xl/ctrlProps/ctrlProp8.xml><?xml version="1.0" encoding="utf-8"?>
<formControlPr xmlns="http://schemas.microsoft.com/office/spreadsheetml/2009/9/main" objectType="CheckBox" fmlaLink="$I$9" lockText="1" noThreeD="1"/>
</file>

<file path=xl/ctrlProps/ctrlProp9.xml><?xml version="1.0" encoding="utf-8"?>
<formControlPr xmlns="http://schemas.microsoft.com/office/spreadsheetml/2009/9/main" objectType="CheckBox" fmlaLink="$I$10" lockText="1" noThreeD="1"/>
</file>

<file path=xl/ctrlProps/ctrlProp10.xml><?xml version="1.0" encoding="utf-8"?>
<formControlPr xmlns="http://schemas.microsoft.com/office/spreadsheetml/2009/9/main" objectType="CheckBox" fmlaLink="$I$38" lockText="1" noThreeD="1"/>
</file>

<file path=xl/ctrlProps/ctrlProp11.xml><?xml version="1.0" encoding="utf-8"?>
<formControlPr xmlns="http://schemas.microsoft.com/office/spreadsheetml/2009/9/main" objectType="CheckBox" fmlaLink="$I$36" lockText="1" noThreeD="1"/>
</file>

<file path=xl/ctrlProps/ctrlProp12.xml><?xml version="1.0" encoding="utf-8"?>
<formControlPr xmlns="http://schemas.microsoft.com/office/spreadsheetml/2009/9/main" objectType="CheckBox" fmlaLink="$I$55" lockText="1" noThreeD="1"/>
</file>

<file path=xl/ctrlProps/ctrlProp13.xml><?xml version="1.0" encoding="utf-8"?>
<formControlPr xmlns="http://schemas.microsoft.com/office/spreadsheetml/2009/9/main" objectType="CheckBox" fmlaLink="$I$51" lockText="1" noThreeD="1"/>
</file>

<file path=xl/ctrlProps/ctrlProp14.xml><?xml version="1.0" encoding="utf-8"?>
<formControlPr xmlns="http://schemas.microsoft.com/office/spreadsheetml/2009/9/main" objectType="CheckBox" fmlaLink="$I$68" lockText="1" noThreeD="1"/>
</file>

<file path=xl/ctrlProps/ctrlProp15.xml><?xml version="1.0" encoding="utf-8"?>
<formControlPr xmlns="http://schemas.microsoft.com/office/spreadsheetml/2009/9/main" objectType="CheckBox" fmlaLink="$I$60" lockText="1" noThreeD="1"/>
</file>

<file path=xl/ctrlProps/ctrlProp16.xml><?xml version="1.0" encoding="utf-8"?>
<formControlPr xmlns="http://schemas.microsoft.com/office/spreadsheetml/2009/9/main" objectType="CheckBox" fmlaLink="$I$59" lockText="1" noThreeD="1"/>
</file>

<file path=xl/ctrlProps/ctrlProp17.xml><?xml version="1.0" encoding="utf-8"?>
<formControlPr xmlns="http://schemas.microsoft.com/office/spreadsheetml/2009/9/main" objectType="CheckBox" fmlaLink="$I$65" lockText="1" noThreeD="1"/>
</file>

<file path=xl/ctrlProps/ctrlProp18.xml><?xml version="1.0" encoding="utf-8"?>
<formControlPr xmlns="http://schemas.microsoft.com/office/spreadsheetml/2009/9/main" objectType="CheckBox" fmlaLink="$I$61" lockText="1" noThreeD="1"/>
</file>

<file path=xl/ctrlProps/ctrlProp19.xml><?xml version="1.0" encoding="utf-8"?>
<formControlPr xmlns="http://schemas.microsoft.com/office/spreadsheetml/2009/9/main" objectType="CheckBox" fmlaLink="$I$62" lockText="1" noThreeD="1"/>
</file>

<file path=xl/ctrlProps/ctrlProp20.xml><?xml version="1.0" encoding="utf-8"?>
<formControlPr xmlns="http://schemas.microsoft.com/office/spreadsheetml/2009/9/main" objectType="CheckBox" fmlaLink="$I$64" lockText="1" noThreeD="1"/>
</file>

<file path=xl/ctrlProps/ctrlProp21.xml><?xml version="1.0" encoding="utf-8"?>
<formControlPr xmlns="http://schemas.microsoft.com/office/spreadsheetml/2009/9/main" objectType="CheckBox" fmlaLink="$I$66" lockText="1" noThreeD="1"/>
</file>

<file path=xl/ctrlProps/ctrlProp22.xml><?xml version="1.0" encoding="utf-8"?>
<formControlPr xmlns="http://schemas.microsoft.com/office/spreadsheetml/2009/9/main" objectType="CheckBox" fmlaLink="$I$58" lockText="1" noThreeD="1"/>
</file>

<file path=xl/ctrlProps/ctrlProp23.xml><?xml version="1.0" encoding="utf-8"?>
<formControlPr xmlns="http://schemas.microsoft.com/office/spreadsheetml/2009/9/main" objectType="CheckBox" fmlaLink="$I$23" lockText="1" noThreeD="1"/>
</file>

<file path=xl/ctrlProps/ctrlProp24.xml><?xml version="1.0" encoding="utf-8"?>
<formControlPr xmlns="http://schemas.microsoft.com/office/spreadsheetml/2009/9/main" objectType="CheckBox" fmlaLink="$I$63" lockText="1" noThreeD="1"/>
</file>

<file path=xl/ctrlProps/ctrlProp25.xml><?xml version="1.0" encoding="utf-8"?>
<formControlPr xmlns="http://schemas.microsoft.com/office/spreadsheetml/2009/9/main" objectType="CheckBox" fmlaLink="$I$43" lockText="1" noThreeD="1"/>
</file>

<file path=xl/ctrlProps/ctrlProp26.xml><?xml version="1.0" encoding="utf-8"?>
<formControlPr xmlns="http://schemas.microsoft.com/office/spreadsheetml/2009/9/main" objectType="CheckBox" fmlaLink="$I$44" lockText="1" noThreeD="1"/>
</file>

<file path=xl/ctrlProps/ctrlProp27.xml><?xml version="1.0" encoding="utf-8"?>
<formControlPr xmlns="http://schemas.microsoft.com/office/spreadsheetml/2009/9/main" objectType="CheckBox" fmlaLink="$I$15" lockText="1" noThreeD="1"/>
</file>

<file path=xl/ctrlProps/ctrlProp28.xml><?xml version="1.0" encoding="utf-8"?>
<formControlPr xmlns="http://schemas.microsoft.com/office/spreadsheetml/2009/9/main" objectType="CheckBox" fmlaLink="$I$16" lockText="1" noThreeD="1"/>
</file>

<file path=xl/ctrlProps/ctrlProp29.xml><?xml version="1.0" encoding="utf-8"?>
<formControlPr xmlns="http://schemas.microsoft.com/office/spreadsheetml/2009/9/main" objectType="CheckBox" fmlaLink="Startup!$I$55" lockText="1" noThreeD="1"/>
</file>

<file path=xl/ctrlProps/ctrlProp30.xml><?xml version="1.0" encoding="utf-8"?>
<formControlPr xmlns="http://schemas.microsoft.com/office/spreadsheetml/2009/9/main" objectType="CheckBox" fmlaLink="Startup!$I$57" lockText="1" noThreeD="1"/>
</file>

<file path=xl/ctrlProps/ctrlProp31.xml><?xml version="1.0" encoding="utf-8"?>
<formControlPr xmlns="http://schemas.microsoft.com/office/spreadsheetml/2009/9/main" objectType="CheckBox" fmlaLink="Startup!$I$56" lockText="1" noThreeD="1"/>
</file>

<file path=xl/ctrlProps/ctrlProp32.xml><?xml version="1.0" encoding="utf-8"?>
<formControlPr xmlns="http://schemas.microsoft.com/office/spreadsheetml/2009/9/main" objectType="CheckBox" fmlaLink="Startup!$I$57" lockText="1" noThreeD="1"/>
</file>

<file path=xl/ctrlProps/ctrlProp33.xml><?xml version="1.0" encoding="utf-8"?>
<formControlPr xmlns="http://schemas.microsoft.com/office/spreadsheetml/2009/9/main" objectType="CheckBox" fmlaLink="Startup!$I$56" lockText="1" noThreeD="1"/>
</file>

<file path=xl/ctrlProps/ctrlProp34.xml><?xml version="1.0" encoding="utf-8"?>
<formControlPr xmlns="http://schemas.microsoft.com/office/spreadsheetml/2009/9/main" objectType="CheckBox" fmlaLink="Startup!$I$67" lockText="1" noThreeD="1"/>
</file>

<file path=xl/ctrlProps/ctrlProp35.xml><?xml version="1.0" encoding="utf-8"?>
<formControlPr xmlns="http://schemas.microsoft.com/office/spreadsheetml/2009/9/main" objectType="CheckBox" fmlaLink="Startup!$I$51" lockText="1" noThreeD="1"/>
</file>

<file path=xl/ctrlProps/ctrlProp36.xml><?xml version="1.0" encoding="utf-8"?>
<formControlPr xmlns="http://schemas.microsoft.com/office/spreadsheetml/2009/9/main" objectType="CheckBox" fmlaLink="Startup!$I$51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fmlaLink="$I$69" lockText="1" noThreeD="1"/>
</file>

<file path=xl/ctrlProps/ctrlProp41.xml><?xml version="1.0" encoding="utf-8"?>
<formControlPr xmlns="http://schemas.microsoft.com/office/spreadsheetml/2009/9/main" objectType="CheckBox" fmlaLink="$I$70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4BA657-737B-4E3B-8D35-F528209C40CD}"/>
            </a:ext>
          </a:extLst>
        </xdr:cNvPr>
        <xdr:cNvSpPr>
          <a:spLocks noChangeArrowheads="1"/>
        </xdr:cNvSpPr>
      </xdr:nvSpPr>
      <xdr:spPr bwMode="auto">
        <a:xfrm>
          <a:off x="2438400" y="13411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0</xdr:rowOff>
        </xdr:from>
        <xdr:to>
          <xdr:col>6</xdr:col>
          <xdr:colOff>38100</xdr:colOff>
          <xdr:row>3</xdr:row>
          <xdr:rowOff>57150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63</xdr:row>
          <xdr:rowOff>0</xdr:rowOff>
        </xdr:from>
        <xdr:to>
          <xdr:col>13</xdr:col>
          <xdr:colOff>0</xdr:colOff>
          <xdr:row>65</xdr:row>
          <xdr:rowOff>47625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38100</xdr:colOff>
          <xdr:row>4</xdr:row>
          <xdr:rowOff>19050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0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0</xdr:colOff>
      <xdr:row>24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3D445DE-04FC-41BC-8470-437433AE430B}"/>
            </a:ext>
          </a:extLst>
        </xdr:cNvPr>
        <xdr:cNvSpPr>
          <a:spLocks noChangeArrowheads="1"/>
        </xdr:cNvSpPr>
      </xdr:nvSpPr>
      <xdr:spPr bwMode="auto">
        <a:xfrm>
          <a:off x="2438400" y="402336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34</xdr:row>
      <xdr:rowOff>0</xdr:rowOff>
    </xdr:from>
    <xdr:to>
      <xdr:col>4</xdr:col>
      <xdr:colOff>0</xdr:colOff>
      <xdr:row>34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1E29B21-D900-4E60-BAD2-D2C4D9A485A1}"/>
            </a:ext>
          </a:extLst>
        </xdr:cNvPr>
        <xdr:cNvSpPr>
          <a:spLocks noChangeArrowheads="1"/>
        </xdr:cNvSpPr>
      </xdr:nvSpPr>
      <xdr:spPr bwMode="auto">
        <a:xfrm>
          <a:off x="2438400" y="569976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</xdr:row>
          <xdr:rowOff>47625</xdr:rowOff>
        </xdr:from>
        <xdr:to>
          <xdr:col>2</xdr:col>
          <xdr:colOff>2514600</xdr:colOff>
          <xdr:row>19</xdr:row>
          <xdr:rowOff>66675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0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NOT APPLICABLE - PRIME CONTRACTOR SUBCONTRACTED TO MECHANICAL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4</xdr:row>
          <xdr:rowOff>133350</xdr:rowOff>
        </xdr:from>
        <xdr:to>
          <xdr:col>4</xdr:col>
          <xdr:colOff>1171575</xdr:colOff>
          <xdr:row>6</xdr:row>
          <xdr:rowOff>19050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0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5</xdr:row>
          <xdr:rowOff>133350</xdr:rowOff>
        </xdr:from>
        <xdr:to>
          <xdr:col>4</xdr:col>
          <xdr:colOff>1171575</xdr:colOff>
          <xdr:row>7</xdr:row>
          <xdr:rowOff>28575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0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6</xdr:row>
          <xdr:rowOff>123825</xdr:rowOff>
        </xdr:from>
        <xdr:to>
          <xdr:col>4</xdr:col>
          <xdr:colOff>1171575</xdr:colOff>
          <xdr:row>8</xdr:row>
          <xdr:rowOff>19050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0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971550</xdr:colOff>
          <xdr:row>7</xdr:row>
          <xdr:rowOff>142875</xdr:rowOff>
        </xdr:from>
        <xdr:to>
          <xdr:col>4</xdr:col>
          <xdr:colOff>1181100</xdr:colOff>
          <xdr:row>9</xdr:row>
          <xdr:rowOff>28575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0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8</xdr:row>
          <xdr:rowOff>133350</xdr:rowOff>
        </xdr:from>
        <xdr:to>
          <xdr:col>4</xdr:col>
          <xdr:colOff>1171575</xdr:colOff>
          <xdr:row>10</xdr:row>
          <xdr:rowOff>19050</xdr:rowOff>
        </xdr:to>
        <xdr:sp macro="" textlink="">
          <xdr:nvSpPr>
            <xdr:cNvPr id="16393" name="Check 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0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36</xdr:row>
          <xdr:rowOff>142875</xdr:rowOff>
        </xdr:from>
        <xdr:to>
          <xdr:col>4</xdr:col>
          <xdr:colOff>1171575</xdr:colOff>
          <xdr:row>38</xdr:row>
          <xdr:rowOff>19050</xdr:rowOff>
        </xdr:to>
        <xdr:sp macro="" textlink="">
          <xdr:nvSpPr>
            <xdr:cNvPr id="16394" name="Check 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0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981075</xdr:colOff>
          <xdr:row>34</xdr:row>
          <xdr:rowOff>142875</xdr:rowOff>
        </xdr:from>
        <xdr:to>
          <xdr:col>4</xdr:col>
          <xdr:colOff>1190625</xdr:colOff>
          <xdr:row>36</xdr:row>
          <xdr:rowOff>19050</xdr:rowOff>
        </xdr:to>
        <xdr:sp macro="" textlink="">
          <xdr:nvSpPr>
            <xdr:cNvPr id="16395" name="Check 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0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52</xdr:row>
          <xdr:rowOff>142875</xdr:rowOff>
        </xdr:from>
        <xdr:to>
          <xdr:col>4</xdr:col>
          <xdr:colOff>1171575</xdr:colOff>
          <xdr:row>54</xdr:row>
          <xdr:rowOff>19050</xdr:rowOff>
        </xdr:to>
        <xdr:sp macro="" textlink="">
          <xdr:nvSpPr>
            <xdr:cNvPr id="16396" name="Check 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0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51</xdr:row>
          <xdr:rowOff>133350</xdr:rowOff>
        </xdr:from>
        <xdr:to>
          <xdr:col>4</xdr:col>
          <xdr:colOff>1171575</xdr:colOff>
          <xdr:row>52</xdr:row>
          <xdr:rowOff>19050</xdr:rowOff>
        </xdr:to>
        <xdr:sp macro="" textlink="">
          <xdr:nvSpPr>
            <xdr:cNvPr id="16397" name="Check 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0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962025</xdr:colOff>
          <xdr:row>52</xdr:row>
          <xdr:rowOff>133350</xdr:rowOff>
        </xdr:from>
        <xdr:to>
          <xdr:col>0</xdr:col>
          <xdr:colOff>1171575</xdr:colOff>
          <xdr:row>54</xdr:row>
          <xdr:rowOff>19050</xdr:rowOff>
        </xdr:to>
        <xdr:sp macro="" textlink="">
          <xdr:nvSpPr>
            <xdr:cNvPr id="16398" name="Check Box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0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962025</xdr:colOff>
          <xdr:row>55</xdr:row>
          <xdr:rowOff>142875</xdr:rowOff>
        </xdr:from>
        <xdr:to>
          <xdr:col>0</xdr:col>
          <xdr:colOff>1171575</xdr:colOff>
          <xdr:row>57</xdr:row>
          <xdr:rowOff>28575</xdr:rowOff>
        </xdr:to>
        <xdr:sp macro="" textlink="">
          <xdr:nvSpPr>
            <xdr:cNvPr id="16399" name="Check Box 15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0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981075</xdr:colOff>
          <xdr:row>54</xdr:row>
          <xdr:rowOff>142875</xdr:rowOff>
        </xdr:from>
        <xdr:to>
          <xdr:col>0</xdr:col>
          <xdr:colOff>1190625</xdr:colOff>
          <xdr:row>56</xdr:row>
          <xdr:rowOff>19050</xdr:rowOff>
        </xdr:to>
        <xdr:sp macro="" textlink="">
          <xdr:nvSpPr>
            <xdr:cNvPr id="16400" name="Check Box 16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0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981075</xdr:colOff>
          <xdr:row>61</xdr:row>
          <xdr:rowOff>133350</xdr:rowOff>
        </xdr:from>
        <xdr:to>
          <xdr:col>4</xdr:col>
          <xdr:colOff>1190625</xdr:colOff>
          <xdr:row>63</xdr:row>
          <xdr:rowOff>19050</xdr:rowOff>
        </xdr:to>
        <xdr:sp macro="" textlink="">
          <xdr:nvSpPr>
            <xdr:cNvPr id="16401" name="Check Box 17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0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981075</xdr:colOff>
          <xdr:row>57</xdr:row>
          <xdr:rowOff>142875</xdr:rowOff>
        </xdr:from>
        <xdr:to>
          <xdr:col>4</xdr:col>
          <xdr:colOff>1190625</xdr:colOff>
          <xdr:row>59</xdr:row>
          <xdr:rowOff>28575</xdr:rowOff>
        </xdr:to>
        <xdr:sp macro="" textlink="">
          <xdr:nvSpPr>
            <xdr:cNvPr id="16402" name="Check Box 18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:a16="http://schemas.microsoft.com/office/drawing/2014/main" id="{00000000-0008-0000-00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981075</xdr:colOff>
          <xdr:row>59</xdr:row>
          <xdr:rowOff>142875</xdr:rowOff>
        </xdr:from>
        <xdr:to>
          <xdr:col>4</xdr:col>
          <xdr:colOff>1190625</xdr:colOff>
          <xdr:row>61</xdr:row>
          <xdr:rowOff>38100</xdr:rowOff>
        </xdr:to>
        <xdr:sp macro="" textlink="">
          <xdr:nvSpPr>
            <xdr:cNvPr id="16403" name="Check Box 19" hidden="1">
              <a:extLst>
                <a:ext uri="{63B3BB69-23CF-44E3-9099-C40C66FF867C}">
                  <a14:compatExt spid="_x0000_s16403"/>
                </a:ext>
                <a:ext uri="{FF2B5EF4-FFF2-40B4-BE49-F238E27FC236}">
                  <a16:creationId xmlns:a16="http://schemas.microsoft.com/office/drawing/2014/main" id="{00000000-0008-0000-0000-00001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981075</xdr:colOff>
          <xdr:row>60</xdr:row>
          <xdr:rowOff>142875</xdr:rowOff>
        </xdr:from>
        <xdr:to>
          <xdr:col>4</xdr:col>
          <xdr:colOff>1190625</xdr:colOff>
          <xdr:row>62</xdr:row>
          <xdr:rowOff>38100</xdr:rowOff>
        </xdr:to>
        <xdr:sp macro="" textlink="">
          <xdr:nvSpPr>
            <xdr:cNvPr id="16404" name="Check Box 20" hidden="1">
              <a:extLst>
                <a:ext uri="{63B3BB69-23CF-44E3-9099-C40C66FF867C}">
                  <a14:compatExt spid="_x0000_s16404"/>
                </a:ext>
                <a:ext uri="{FF2B5EF4-FFF2-40B4-BE49-F238E27FC236}">
                  <a16:creationId xmlns:a16="http://schemas.microsoft.com/office/drawing/2014/main" id="{00000000-0008-0000-0000-00001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981075</xdr:colOff>
          <xdr:row>62</xdr:row>
          <xdr:rowOff>142875</xdr:rowOff>
        </xdr:from>
        <xdr:to>
          <xdr:col>4</xdr:col>
          <xdr:colOff>1190625</xdr:colOff>
          <xdr:row>64</xdr:row>
          <xdr:rowOff>19050</xdr:rowOff>
        </xdr:to>
        <xdr:sp macro="" textlink="">
          <xdr:nvSpPr>
            <xdr:cNvPr id="16405" name="Check Box 21" hidden="1">
              <a:extLst>
                <a:ext uri="{63B3BB69-23CF-44E3-9099-C40C66FF867C}">
                  <a14:compatExt spid="_x0000_s16405"/>
                </a:ext>
                <a:ext uri="{FF2B5EF4-FFF2-40B4-BE49-F238E27FC236}">
                  <a16:creationId xmlns:a16="http://schemas.microsoft.com/office/drawing/2014/main" id="{00000000-0008-0000-0000-00001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981075</xdr:colOff>
          <xdr:row>57</xdr:row>
          <xdr:rowOff>142875</xdr:rowOff>
        </xdr:from>
        <xdr:to>
          <xdr:col>0</xdr:col>
          <xdr:colOff>1190625</xdr:colOff>
          <xdr:row>59</xdr:row>
          <xdr:rowOff>28575</xdr:rowOff>
        </xdr:to>
        <xdr:sp macro="" textlink="">
          <xdr:nvSpPr>
            <xdr:cNvPr id="16406" name="Check Box 22" hidden="1">
              <a:extLst>
                <a:ext uri="{63B3BB69-23CF-44E3-9099-C40C66FF867C}">
                  <a14:compatExt spid="_x0000_s16406"/>
                </a:ext>
                <a:ext uri="{FF2B5EF4-FFF2-40B4-BE49-F238E27FC236}">
                  <a16:creationId xmlns:a16="http://schemas.microsoft.com/office/drawing/2014/main" id="{00000000-0008-0000-0000-00001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828675</xdr:colOff>
          <xdr:row>21</xdr:row>
          <xdr:rowOff>133350</xdr:rowOff>
        </xdr:from>
        <xdr:to>
          <xdr:col>4</xdr:col>
          <xdr:colOff>1038225</xdr:colOff>
          <xdr:row>23</xdr:row>
          <xdr:rowOff>0</xdr:rowOff>
        </xdr:to>
        <xdr:sp macro="" textlink="">
          <xdr:nvSpPr>
            <xdr:cNvPr id="16407" name="Check Box 23" hidden="1">
              <a:extLst>
                <a:ext uri="{63B3BB69-23CF-44E3-9099-C40C66FF867C}">
                  <a14:compatExt spid="_x0000_s16407"/>
                </a:ext>
                <a:ext uri="{FF2B5EF4-FFF2-40B4-BE49-F238E27FC236}">
                  <a16:creationId xmlns:a16="http://schemas.microsoft.com/office/drawing/2014/main" id="{00000000-0008-0000-0000-00001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971550</xdr:colOff>
          <xdr:row>58</xdr:row>
          <xdr:rowOff>152400</xdr:rowOff>
        </xdr:from>
        <xdr:to>
          <xdr:col>4</xdr:col>
          <xdr:colOff>1181100</xdr:colOff>
          <xdr:row>60</xdr:row>
          <xdr:rowOff>57150</xdr:rowOff>
        </xdr:to>
        <xdr:sp macro="" textlink="">
          <xdr:nvSpPr>
            <xdr:cNvPr id="16408" name="Check Box 24" hidden="1">
              <a:extLst>
                <a:ext uri="{63B3BB69-23CF-44E3-9099-C40C66FF867C}">
                  <a14:compatExt spid="_x0000_s16408"/>
                </a:ext>
                <a:ext uri="{FF2B5EF4-FFF2-40B4-BE49-F238E27FC236}">
                  <a16:creationId xmlns:a16="http://schemas.microsoft.com/office/drawing/2014/main" id="{00000000-0008-0000-0000-00001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37</xdr:row>
          <xdr:rowOff>142875</xdr:rowOff>
        </xdr:from>
        <xdr:to>
          <xdr:col>2</xdr:col>
          <xdr:colOff>76200</xdr:colOff>
          <xdr:row>39</xdr:row>
          <xdr:rowOff>19050</xdr:rowOff>
        </xdr:to>
        <xdr:sp macro="" textlink="">
          <xdr:nvSpPr>
            <xdr:cNvPr id="16409" name="Check Box 25" hidden="1">
              <a:extLst>
                <a:ext uri="{63B3BB69-23CF-44E3-9099-C40C66FF867C}">
                  <a14:compatExt spid="_x0000_s16409"/>
                </a:ext>
                <a:ext uri="{FF2B5EF4-FFF2-40B4-BE49-F238E27FC236}">
                  <a16:creationId xmlns:a16="http://schemas.microsoft.com/office/drawing/2014/main" id="{00000000-0008-0000-0000-00001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1219200</xdr:colOff>
          <xdr:row>37</xdr:row>
          <xdr:rowOff>152400</xdr:rowOff>
        </xdr:from>
        <xdr:to>
          <xdr:col>2</xdr:col>
          <xdr:colOff>1428750</xdr:colOff>
          <xdr:row>39</xdr:row>
          <xdr:rowOff>19050</xdr:rowOff>
        </xdr:to>
        <xdr:sp macro="" textlink="">
          <xdr:nvSpPr>
            <xdr:cNvPr id="16410" name="Check Box 26" hidden="1">
              <a:extLst>
                <a:ext uri="{63B3BB69-23CF-44E3-9099-C40C66FF867C}">
                  <a14:compatExt spid="_x0000_s16410"/>
                </a:ext>
                <a:ext uri="{FF2B5EF4-FFF2-40B4-BE49-F238E27FC236}">
                  <a16:creationId xmlns:a16="http://schemas.microsoft.com/office/drawing/2014/main" id="{00000000-0008-0000-0000-00001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14</xdr:row>
          <xdr:rowOff>142875</xdr:rowOff>
        </xdr:from>
        <xdr:to>
          <xdr:col>2</xdr:col>
          <xdr:colOff>76200</xdr:colOff>
          <xdr:row>15</xdr:row>
          <xdr:rowOff>180975</xdr:rowOff>
        </xdr:to>
        <xdr:sp macro="" textlink="">
          <xdr:nvSpPr>
            <xdr:cNvPr id="16411" name="Check Box 27" hidden="1">
              <a:extLst>
                <a:ext uri="{63B3BB69-23CF-44E3-9099-C40C66FF867C}">
                  <a14:compatExt spid="_x0000_s16411"/>
                </a:ext>
                <a:ext uri="{FF2B5EF4-FFF2-40B4-BE49-F238E27FC236}">
                  <a16:creationId xmlns:a16="http://schemas.microsoft.com/office/drawing/2014/main" id="{00000000-0008-0000-0000-00001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1219200</xdr:colOff>
          <xdr:row>14</xdr:row>
          <xdr:rowOff>152400</xdr:rowOff>
        </xdr:from>
        <xdr:to>
          <xdr:col>2</xdr:col>
          <xdr:colOff>1428750</xdr:colOff>
          <xdr:row>16</xdr:row>
          <xdr:rowOff>0</xdr:rowOff>
        </xdr:to>
        <xdr:sp macro="" textlink="">
          <xdr:nvSpPr>
            <xdr:cNvPr id="16412" name="Check Box 28" hidden="1">
              <a:extLst>
                <a:ext uri="{63B3BB69-23CF-44E3-9099-C40C66FF867C}">
                  <a14:compatExt spid="_x0000_s16412"/>
                </a:ext>
                <a:ext uri="{FF2B5EF4-FFF2-40B4-BE49-F238E27FC236}">
                  <a16:creationId xmlns:a16="http://schemas.microsoft.com/office/drawing/2014/main" id="{00000000-0008-0000-0000-00001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55</xdr:row>
          <xdr:rowOff>142875</xdr:rowOff>
        </xdr:from>
        <xdr:to>
          <xdr:col>4</xdr:col>
          <xdr:colOff>1171575</xdr:colOff>
          <xdr:row>57</xdr:row>
          <xdr:rowOff>38100</xdr:rowOff>
        </xdr:to>
        <xdr:sp macro="" textlink="">
          <xdr:nvSpPr>
            <xdr:cNvPr id="16413" name="Check Box 29" hidden="1">
              <a:extLst>
                <a:ext uri="{63B3BB69-23CF-44E3-9099-C40C66FF867C}">
                  <a14:compatExt spid="_x0000_s16413"/>
                </a:ext>
                <a:ext uri="{FF2B5EF4-FFF2-40B4-BE49-F238E27FC236}">
                  <a16:creationId xmlns:a16="http://schemas.microsoft.com/office/drawing/2014/main" id="{00000000-0008-0000-0000-00001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962025</xdr:colOff>
          <xdr:row>49</xdr:row>
          <xdr:rowOff>142875</xdr:rowOff>
        </xdr:from>
        <xdr:to>
          <xdr:col>0</xdr:col>
          <xdr:colOff>1171575</xdr:colOff>
          <xdr:row>51</xdr:row>
          <xdr:rowOff>38100</xdr:rowOff>
        </xdr:to>
        <xdr:sp macro="" textlink="">
          <xdr:nvSpPr>
            <xdr:cNvPr id="16414" name="Check Box 30" hidden="1">
              <a:extLst>
                <a:ext uri="{63B3BB69-23CF-44E3-9099-C40C66FF867C}">
                  <a14:compatExt spid="_x0000_s16414"/>
                </a:ext>
                <a:ext uri="{FF2B5EF4-FFF2-40B4-BE49-F238E27FC236}">
                  <a16:creationId xmlns:a16="http://schemas.microsoft.com/office/drawing/2014/main" id="{00000000-0008-0000-0000-00001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981075</xdr:colOff>
          <xdr:row>48</xdr:row>
          <xdr:rowOff>180975</xdr:rowOff>
        </xdr:from>
        <xdr:to>
          <xdr:col>0</xdr:col>
          <xdr:colOff>1190625</xdr:colOff>
          <xdr:row>50</xdr:row>
          <xdr:rowOff>47625</xdr:rowOff>
        </xdr:to>
        <xdr:sp macro="" textlink="">
          <xdr:nvSpPr>
            <xdr:cNvPr id="16415" name="Check Box 31" hidden="1">
              <a:extLst>
                <a:ext uri="{63B3BB69-23CF-44E3-9099-C40C66FF867C}">
                  <a14:compatExt spid="_x0000_s16415"/>
                </a:ext>
                <a:ext uri="{FF2B5EF4-FFF2-40B4-BE49-F238E27FC236}">
                  <a16:creationId xmlns:a16="http://schemas.microsoft.com/office/drawing/2014/main" id="{00000000-0008-0000-0000-00001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962025</xdr:colOff>
          <xdr:row>49</xdr:row>
          <xdr:rowOff>142875</xdr:rowOff>
        </xdr:from>
        <xdr:to>
          <xdr:col>0</xdr:col>
          <xdr:colOff>1171575</xdr:colOff>
          <xdr:row>51</xdr:row>
          <xdr:rowOff>28575</xdr:rowOff>
        </xdr:to>
        <xdr:sp macro="" textlink="">
          <xdr:nvSpPr>
            <xdr:cNvPr id="16416" name="Check Box 32" hidden="1">
              <a:extLst>
                <a:ext uri="{63B3BB69-23CF-44E3-9099-C40C66FF867C}">
                  <a14:compatExt spid="_x0000_s16416"/>
                </a:ext>
                <a:ext uri="{FF2B5EF4-FFF2-40B4-BE49-F238E27FC236}">
                  <a16:creationId xmlns:a16="http://schemas.microsoft.com/office/drawing/2014/main" id="{00000000-0008-0000-0000-00002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981075</xdr:colOff>
          <xdr:row>48</xdr:row>
          <xdr:rowOff>180975</xdr:rowOff>
        </xdr:from>
        <xdr:to>
          <xdr:col>0</xdr:col>
          <xdr:colOff>1190625</xdr:colOff>
          <xdr:row>50</xdr:row>
          <xdr:rowOff>47625</xdr:rowOff>
        </xdr:to>
        <xdr:sp macro="" textlink="">
          <xdr:nvSpPr>
            <xdr:cNvPr id="16417" name="Check Box 33" hidden="1">
              <a:extLst>
                <a:ext uri="{63B3BB69-23CF-44E3-9099-C40C66FF867C}">
                  <a14:compatExt spid="_x0000_s16417"/>
                </a:ext>
                <a:ext uri="{FF2B5EF4-FFF2-40B4-BE49-F238E27FC236}">
                  <a16:creationId xmlns:a16="http://schemas.microsoft.com/office/drawing/2014/main" id="{00000000-0008-0000-0000-00002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962025</xdr:colOff>
          <xdr:row>51</xdr:row>
          <xdr:rowOff>390525</xdr:rowOff>
        </xdr:from>
        <xdr:to>
          <xdr:col>0</xdr:col>
          <xdr:colOff>1171575</xdr:colOff>
          <xdr:row>53</xdr:row>
          <xdr:rowOff>57150</xdr:rowOff>
        </xdr:to>
        <xdr:sp macro="" textlink="">
          <xdr:nvSpPr>
            <xdr:cNvPr id="16418" name="Check Box 34" hidden="1">
              <a:extLst>
                <a:ext uri="{63B3BB69-23CF-44E3-9099-C40C66FF867C}">
                  <a14:compatExt spid="_x0000_s16418"/>
                </a:ext>
                <a:ext uri="{FF2B5EF4-FFF2-40B4-BE49-F238E27FC236}">
                  <a16:creationId xmlns:a16="http://schemas.microsoft.com/office/drawing/2014/main" id="{00000000-0008-0000-0000-00002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962025</xdr:colOff>
          <xdr:row>54</xdr:row>
          <xdr:rowOff>361950</xdr:rowOff>
        </xdr:from>
        <xdr:to>
          <xdr:col>4</xdr:col>
          <xdr:colOff>1171575</xdr:colOff>
          <xdr:row>56</xdr:row>
          <xdr:rowOff>57150</xdr:rowOff>
        </xdr:to>
        <xdr:sp macro="" textlink="">
          <xdr:nvSpPr>
            <xdr:cNvPr id="16419" name="Check Box 35" hidden="1">
              <a:extLst>
                <a:ext uri="{63B3BB69-23CF-44E3-9099-C40C66FF867C}">
                  <a14:compatExt spid="_x0000_s16419"/>
                </a:ext>
                <a:ext uri="{FF2B5EF4-FFF2-40B4-BE49-F238E27FC236}">
                  <a16:creationId xmlns:a16="http://schemas.microsoft.com/office/drawing/2014/main" id="{00000000-0008-0000-0000-00002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628650</xdr:colOff>
          <xdr:row>65</xdr:row>
          <xdr:rowOff>28575</xdr:rowOff>
        </xdr:from>
        <xdr:to>
          <xdr:col>4</xdr:col>
          <xdr:colOff>838200</xdr:colOff>
          <xdr:row>66</xdr:row>
          <xdr:rowOff>104775</xdr:rowOff>
        </xdr:to>
        <xdr:sp macro="" textlink="">
          <xdr:nvSpPr>
            <xdr:cNvPr id="16420" name="Check Box 36" hidden="1">
              <a:extLst>
                <a:ext uri="{63B3BB69-23CF-44E3-9099-C40C66FF867C}">
                  <a14:compatExt spid="_x0000_s16420"/>
                </a:ext>
                <a:ext uri="{FF2B5EF4-FFF2-40B4-BE49-F238E27FC236}">
                  <a16:creationId xmlns:a16="http://schemas.microsoft.com/office/drawing/2014/main" id="{00000000-0008-0000-0000-00002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647700</xdr:colOff>
          <xdr:row>66</xdr:row>
          <xdr:rowOff>85725</xdr:rowOff>
        </xdr:from>
        <xdr:to>
          <xdr:col>4</xdr:col>
          <xdr:colOff>981075</xdr:colOff>
          <xdr:row>67</xdr:row>
          <xdr:rowOff>342900</xdr:rowOff>
        </xdr:to>
        <xdr:sp macro="" textlink="">
          <xdr:nvSpPr>
            <xdr:cNvPr id="16421" name="Check Box 37" hidden="1">
              <a:extLst>
                <a:ext uri="{63B3BB69-23CF-44E3-9099-C40C66FF867C}">
                  <a14:compatExt spid="_x0000_s16421"/>
                </a:ext>
                <a:ext uri="{FF2B5EF4-FFF2-40B4-BE49-F238E27FC236}">
                  <a16:creationId xmlns:a16="http://schemas.microsoft.com/office/drawing/2014/main" id="{00000000-0008-0000-0000-00002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64</xdr:row>
          <xdr:rowOff>142875</xdr:rowOff>
        </xdr:from>
        <xdr:to>
          <xdr:col>6</xdr:col>
          <xdr:colOff>657225</xdr:colOff>
          <xdr:row>67</xdr:row>
          <xdr:rowOff>47625</xdr:rowOff>
        </xdr:to>
        <xdr:sp macro="" textlink="">
          <xdr:nvSpPr>
            <xdr:cNvPr id="16422" name="Check Box 38" hidden="1">
              <a:extLst>
                <a:ext uri="{63B3BB69-23CF-44E3-9099-C40C66FF867C}">
                  <a14:compatExt spid="_x0000_s16422"/>
                </a:ext>
                <a:ext uri="{FF2B5EF4-FFF2-40B4-BE49-F238E27FC236}">
                  <a16:creationId xmlns:a16="http://schemas.microsoft.com/office/drawing/2014/main" id="{00000000-0008-0000-0000-00002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66</xdr:row>
          <xdr:rowOff>95250</xdr:rowOff>
        </xdr:from>
        <xdr:to>
          <xdr:col>6</xdr:col>
          <xdr:colOff>666750</xdr:colOff>
          <xdr:row>67</xdr:row>
          <xdr:rowOff>342900</xdr:rowOff>
        </xdr:to>
        <xdr:sp macro="" textlink="">
          <xdr:nvSpPr>
            <xdr:cNvPr id="16423" name="Check Box 39" hidden="1">
              <a:extLst>
                <a:ext uri="{63B3BB69-23CF-44E3-9099-C40C66FF867C}">
                  <a14:compatExt spid="_x0000_s16423"/>
                </a:ext>
                <a:ext uri="{FF2B5EF4-FFF2-40B4-BE49-F238E27FC236}">
                  <a16:creationId xmlns:a16="http://schemas.microsoft.com/office/drawing/2014/main" id="{00000000-0008-0000-0000-00002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952500</xdr:colOff>
          <xdr:row>63</xdr:row>
          <xdr:rowOff>142875</xdr:rowOff>
        </xdr:from>
        <xdr:to>
          <xdr:col>0</xdr:col>
          <xdr:colOff>1162050</xdr:colOff>
          <xdr:row>65</xdr:row>
          <xdr:rowOff>0</xdr:rowOff>
        </xdr:to>
        <xdr:sp macro="" textlink="">
          <xdr:nvSpPr>
            <xdr:cNvPr id="16424" name="Check Box 40" hidden="1">
              <a:extLst>
                <a:ext uri="{63B3BB69-23CF-44E3-9099-C40C66FF867C}">
                  <a14:compatExt spid="_x0000_s16424"/>
                </a:ext>
                <a:ext uri="{FF2B5EF4-FFF2-40B4-BE49-F238E27FC236}">
                  <a16:creationId xmlns:a16="http://schemas.microsoft.com/office/drawing/2014/main" id="{00000000-0008-0000-0000-00002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962025</xdr:colOff>
          <xdr:row>64</xdr:row>
          <xdr:rowOff>142875</xdr:rowOff>
        </xdr:from>
        <xdr:to>
          <xdr:col>0</xdr:col>
          <xdr:colOff>1171575</xdr:colOff>
          <xdr:row>66</xdr:row>
          <xdr:rowOff>0</xdr:rowOff>
        </xdr:to>
        <xdr:sp macro="" textlink="">
          <xdr:nvSpPr>
            <xdr:cNvPr id="16425" name="Check Box 41" hidden="1">
              <a:extLst>
                <a:ext uri="{63B3BB69-23CF-44E3-9099-C40C66FF867C}">
                  <a14:compatExt spid="_x0000_s16425"/>
                </a:ext>
                <a:ext uri="{FF2B5EF4-FFF2-40B4-BE49-F238E27FC236}">
                  <a16:creationId xmlns:a16="http://schemas.microsoft.com/office/drawing/2014/main" id="{00000000-0008-0000-0000-00002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447676</xdr:rowOff>
    </xdr:from>
    <xdr:to>
      <xdr:col>10</xdr:col>
      <xdr:colOff>0</xdr:colOff>
      <xdr:row>7</xdr:row>
      <xdr:rowOff>85725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DC5AFDB-FEEE-0E15-25A6-B1F0F5683989}"/>
            </a:ext>
          </a:extLst>
        </xdr:cNvPr>
        <xdr:cNvSpPr/>
      </xdr:nvSpPr>
      <xdr:spPr>
        <a:xfrm>
          <a:off x="14678025" y="904876"/>
          <a:ext cx="3962400" cy="176212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1571625</xdr:colOff>
      <xdr:row>7</xdr:row>
      <xdr:rowOff>266700</xdr:rowOff>
    </xdr:from>
    <xdr:to>
      <xdr:col>5</xdr:col>
      <xdr:colOff>276225</xdr:colOff>
      <xdr:row>9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75D021E-4BF1-3B50-4991-76E39C1B11B7}"/>
            </a:ext>
          </a:extLst>
        </xdr:cNvPr>
        <xdr:cNvCxnSpPr/>
      </xdr:nvCxnSpPr>
      <xdr:spPr>
        <a:xfrm flipH="1" flipV="1">
          <a:off x="7419975" y="2847975"/>
          <a:ext cx="2228850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1476375</xdr:colOff>
      <xdr:row>7</xdr:row>
      <xdr:rowOff>247650</xdr:rowOff>
    </xdr:from>
    <xdr:to>
      <xdr:col>5</xdr:col>
      <xdr:colOff>180975</xdr:colOff>
      <xdr:row>10</xdr:row>
      <xdr:rowOff>161925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C033121-8710-476E-8626-0D06A68E29EE}"/>
            </a:ext>
          </a:extLst>
        </xdr:cNvPr>
        <xdr:cNvCxnSpPr/>
      </xdr:nvCxnSpPr>
      <xdr:spPr>
        <a:xfrm flipH="1" flipV="1">
          <a:off x="7324725" y="2828925"/>
          <a:ext cx="2228850" cy="914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1714500</xdr:colOff>
      <xdr:row>7</xdr:row>
      <xdr:rowOff>47625</xdr:rowOff>
    </xdr:from>
    <xdr:to>
      <xdr:col>5</xdr:col>
      <xdr:colOff>419100</xdr:colOff>
      <xdr:row>8</xdr:row>
      <xdr:rowOff>238125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2D0C8F4-C47E-42C4-BF21-D1AC569E7A34}"/>
            </a:ext>
          </a:extLst>
        </xdr:cNvPr>
        <xdr:cNvCxnSpPr/>
      </xdr:nvCxnSpPr>
      <xdr:spPr>
        <a:xfrm flipH="1" flipV="1">
          <a:off x="7562850" y="2628900"/>
          <a:ext cx="2228850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9</xdr:row>
      <xdr:rowOff>180975</xdr:rowOff>
    </xdr:from>
    <xdr:to>
      <xdr:col>7</xdr:col>
      <xdr:colOff>962025</xdr:colOff>
      <xdr:row>10</xdr:row>
      <xdr:rowOff>314325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AE6B56B-3B25-4BAF-90EC-B2057651BBA9}"/>
            </a:ext>
          </a:extLst>
        </xdr:cNvPr>
        <xdr:cNvCxnSpPr/>
      </xdr:nvCxnSpPr>
      <xdr:spPr>
        <a:xfrm flipH="1" flipV="1">
          <a:off x="13611225" y="3429000"/>
          <a:ext cx="247650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962025</xdr:colOff>
      <xdr:row>1</xdr:row>
      <xdr:rowOff>180975</xdr:rowOff>
    </xdr:from>
    <xdr:to>
      <xdr:col>7</xdr:col>
      <xdr:colOff>1019175</xdr:colOff>
      <xdr:row>10</xdr:row>
      <xdr:rowOff>304800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F917B37-4207-4B81-A2D1-05B698FE01C2}"/>
            </a:ext>
          </a:extLst>
        </xdr:cNvPr>
        <xdr:cNvCxnSpPr/>
      </xdr:nvCxnSpPr>
      <xdr:spPr>
        <a:xfrm flipH="1" flipV="1">
          <a:off x="3286125" y="638175"/>
          <a:ext cx="10629900" cy="3248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628650</xdr:colOff>
      <xdr:row>9</xdr:row>
      <xdr:rowOff>238125</xdr:rowOff>
    </xdr:from>
    <xdr:to>
      <xdr:col>7</xdr:col>
      <xdr:colOff>666750</xdr:colOff>
      <xdr:row>10</xdr:row>
      <xdr:rowOff>295275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2835763-B9A7-4811-9445-C58D57DF2C3F}"/>
            </a:ext>
          </a:extLst>
        </xdr:cNvPr>
        <xdr:cNvCxnSpPr/>
      </xdr:nvCxnSpPr>
      <xdr:spPr>
        <a:xfrm flipH="1" flipV="1">
          <a:off x="2952750" y="3486150"/>
          <a:ext cx="10610850" cy="390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6</xdr:row>
      <xdr:rowOff>57149</xdr:rowOff>
    </xdr:from>
    <xdr:to>
      <xdr:col>8</xdr:col>
      <xdr:colOff>28575</xdr:colOff>
      <xdr:row>8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F459E2C-5ACA-4FDD-A568-EA35A80D1E48}"/>
            </a:ext>
          </a:extLst>
        </xdr:cNvPr>
        <xdr:cNvSpPr/>
      </xdr:nvSpPr>
      <xdr:spPr>
        <a:xfrm>
          <a:off x="11182350" y="2305049"/>
          <a:ext cx="3524250" cy="666751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F7ED-02BA-4575-A743-3E8FFAF11470}">
  <sheetPr>
    <pageSetUpPr fitToPage="1"/>
  </sheetPr>
  <dimension ref="A1:O71"/>
  <sheetViews>
    <sheetView zoomScale="115" zoomScaleNormal="115" workbookViewId="0">
      <selection activeCell="B1" sqref="B1:C1"/>
    </sheetView>
  </sheetViews>
  <sheetFormatPr defaultColWidth="8.85546875" defaultRowHeight="12.75"/>
  <cols>
    <col min="1" max="1" width="18" style="155" customWidth="1"/>
    <col min="2" max="2" width="2.85546875" style="155" customWidth="1"/>
    <col min="3" max="3" width="43.7109375" style="155" customWidth="1"/>
    <col min="4" max="4" width="0.85546875" style="155" customWidth="1"/>
    <col min="5" max="5" width="26.28515625" style="156" customWidth="1"/>
    <col min="6" max="6" width="2.85546875" style="156" customWidth="1"/>
    <col min="7" max="7" width="38.140625" style="155" customWidth="1"/>
    <col min="8" max="8" width="36.28515625" style="155" bestFit="1" customWidth="1"/>
    <col min="9" max="9" width="15.85546875" style="155" bestFit="1" customWidth="1"/>
    <col min="10" max="11" width="12.7109375" style="155" customWidth="1"/>
    <col min="12" max="12" width="8.85546875" style="155"/>
    <col min="13" max="13" width="30.140625" style="155" bestFit="1" customWidth="1"/>
    <col min="14" max="14" width="15.42578125" style="155" bestFit="1" customWidth="1"/>
    <col min="15" max="15" width="12.28515625" style="155" bestFit="1" customWidth="1"/>
    <col min="16" max="16384" width="8.85546875" style="155"/>
  </cols>
  <sheetData>
    <row r="1" spans="1:15" ht="34.5" thickBot="1">
      <c r="A1" s="217" t="s">
        <v>0</v>
      </c>
      <c r="B1" s="680" t="s">
        <v>1</v>
      </c>
      <c r="C1" s="681"/>
      <c r="D1" s="219"/>
      <c r="E1" s="737" t="s">
        <v>2</v>
      </c>
      <c r="F1" s="738"/>
      <c r="G1" s="739"/>
      <c r="M1" s="218" t="s">
        <v>0</v>
      </c>
      <c r="N1" s="218" t="s">
        <v>3</v>
      </c>
      <c r="O1" s="218" t="s">
        <v>4</v>
      </c>
    </row>
    <row r="2" spans="1:15" ht="36" customHeight="1" thickBot="1">
      <c r="A2" s="217" t="s">
        <v>5</v>
      </c>
      <c r="B2" s="680"/>
      <c r="C2" s="681"/>
      <c r="D2" s="156"/>
      <c r="E2" s="216" t="s">
        <v>6</v>
      </c>
      <c r="F2" s="682"/>
      <c r="G2" s="683"/>
      <c r="M2" s="215" t="s">
        <v>7</v>
      </c>
      <c r="N2" s="215" t="s">
        <v>7</v>
      </c>
      <c r="O2" s="215" t="s">
        <v>7</v>
      </c>
    </row>
    <row r="3" spans="1:15" ht="13.5">
      <c r="A3" s="613" t="s">
        <v>8</v>
      </c>
      <c r="B3" s="614"/>
      <c r="C3" s="615"/>
      <c r="D3" s="156"/>
      <c r="E3" s="684" t="s">
        <v>9</v>
      </c>
      <c r="F3" s="214"/>
      <c r="G3" s="213" t="s">
        <v>10</v>
      </c>
      <c r="H3" s="173" t="s">
        <v>11</v>
      </c>
      <c r="I3" s="172" t="b">
        <v>0</v>
      </c>
      <c r="M3" s="212" t="s">
        <v>12</v>
      </c>
      <c r="N3" s="207" t="s">
        <v>13</v>
      </c>
      <c r="O3" s="207" t="s">
        <v>4</v>
      </c>
    </row>
    <row r="4" spans="1:15" ht="13.5" thickBot="1">
      <c r="A4" s="175" t="s">
        <v>14</v>
      </c>
      <c r="B4" s="688"/>
      <c r="C4" s="689"/>
      <c r="D4" s="156"/>
      <c r="E4" s="685"/>
      <c r="F4" s="211"/>
      <c r="G4" s="210" t="s">
        <v>15</v>
      </c>
      <c r="H4" s="160" t="s">
        <v>16</v>
      </c>
      <c r="I4" s="159" t="b">
        <v>0</v>
      </c>
      <c r="M4" s="209" t="s">
        <v>17</v>
      </c>
      <c r="N4" s="207" t="s">
        <v>18</v>
      </c>
      <c r="O4" s="207" t="s">
        <v>19</v>
      </c>
    </row>
    <row r="5" spans="1:15" ht="13.5" thickBot="1">
      <c r="A5" s="175" t="s">
        <v>20</v>
      </c>
      <c r="B5" s="686"/>
      <c r="C5" s="687"/>
      <c r="D5" s="156"/>
      <c r="E5" s="613" t="s">
        <v>21</v>
      </c>
      <c r="F5" s="614"/>
      <c r="G5" s="615"/>
      <c r="K5" s="180"/>
      <c r="M5" s="208" t="s">
        <v>1</v>
      </c>
      <c r="N5" s="207" t="s">
        <v>22</v>
      </c>
      <c r="O5" s="207"/>
    </row>
    <row r="6" spans="1:15">
      <c r="A6" s="175" t="s">
        <v>23</v>
      </c>
      <c r="B6" s="686"/>
      <c r="C6" s="687"/>
      <c r="D6" s="156"/>
      <c r="E6" s="206"/>
      <c r="F6" s="616" t="s">
        <v>24</v>
      </c>
      <c r="G6" s="617"/>
      <c r="H6" s="173" t="s">
        <v>25</v>
      </c>
      <c r="I6" s="172" t="b">
        <v>0</v>
      </c>
      <c r="J6" s="180"/>
      <c r="K6" s="179"/>
    </row>
    <row r="7" spans="1:15">
      <c r="A7" s="175" t="s">
        <v>26</v>
      </c>
      <c r="B7" s="686"/>
      <c r="C7" s="687"/>
      <c r="D7" s="156"/>
      <c r="E7" s="205"/>
      <c r="F7" s="616" t="s">
        <v>27</v>
      </c>
      <c r="G7" s="617"/>
      <c r="H7" s="165" t="s">
        <v>28</v>
      </c>
      <c r="I7" s="164" t="b">
        <v>0</v>
      </c>
      <c r="J7" s="180"/>
      <c r="K7" s="179"/>
    </row>
    <row r="8" spans="1:15">
      <c r="A8" s="175" t="s">
        <v>29</v>
      </c>
      <c r="B8" s="644"/>
      <c r="C8" s="645"/>
      <c r="D8" s="156"/>
      <c r="E8" s="204"/>
      <c r="F8" s="616" t="s">
        <v>30</v>
      </c>
      <c r="G8" s="617"/>
      <c r="H8" s="165" t="s">
        <v>31</v>
      </c>
      <c r="I8" s="164" t="b">
        <v>0</v>
      </c>
      <c r="J8" s="180"/>
      <c r="K8" s="179"/>
    </row>
    <row r="9" spans="1:15" ht="13.5" thickBot="1">
      <c r="A9" s="177" t="s">
        <v>32</v>
      </c>
      <c r="B9" s="644"/>
      <c r="C9" s="645"/>
      <c r="D9" s="156"/>
      <c r="E9" s="204"/>
      <c r="F9" s="616" t="s">
        <v>33</v>
      </c>
      <c r="G9" s="617"/>
      <c r="H9" s="165" t="s">
        <v>34</v>
      </c>
      <c r="I9" s="164" t="b">
        <v>0</v>
      </c>
      <c r="J9" s="180"/>
      <c r="K9" s="179"/>
    </row>
    <row r="10" spans="1:15" ht="13.5" thickBot="1">
      <c r="A10" s="176" t="s">
        <v>35</v>
      </c>
      <c r="B10" s="670"/>
      <c r="C10" s="671"/>
      <c r="D10" s="156"/>
      <c r="E10" s="203"/>
      <c r="F10" s="740" t="s">
        <v>36</v>
      </c>
      <c r="G10" s="741"/>
      <c r="H10" s="160" t="s">
        <v>37</v>
      </c>
      <c r="I10" s="159" t="b">
        <v>0</v>
      </c>
      <c r="J10" s="180"/>
      <c r="K10" s="179"/>
    </row>
    <row r="11" spans="1:15" ht="15">
      <c r="A11" s="175" t="s">
        <v>33</v>
      </c>
      <c r="B11" s="611"/>
      <c r="C11" s="612"/>
      <c r="D11" s="156"/>
      <c r="E11" s="613" t="s">
        <v>38</v>
      </c>
      <c r="F11" s="614"/>
      <c r="G11" s="615"/>
      <c r="H11" s="187"/>
      <c r="J11" s="180"/>
      <c r="K11" s="179"/>
    </row>
    <row r="12" spans="1:15" ht="15.75" thickBot="1">
      <c r="A12" s="177" t="s">
        <v>39</v>
      </c>
      <c r="B12" s="618"/>
      <c r="C12" s="619"/>
      <c r="D12" s="156"/>
      <c r="E12" s="193" t="s">
        <v>40</v>
      </c>
      <c r="F12" s="640"/>
      <c r="G12" s="646"/>
      <c r="H12" s="187"/>
      <c r="J12" s="180"/>
      <c r="K12" s="179"/>
    </row>
    <row r="13" spans="1:15" ht="15">
      <c r="A13" s="176" t="s">
        <v>41</v>
      </c>
      <c r="B13" s="670"/>
      <c r="C13" s="671"/>
      <c r="D13" s="156"/>
      <c r="E13" s="193" t="s">
        <v>42</v>
      </c>
      <c r="F13" s="638"/>
      <c r="G13" s="639"/>
      <c r="H13" s="202" t="e">
        <f>+F13/F12</f>
        <v>#DIV/0!</v>
      </c>
      <c r="I13" s="185"/>
      <c r="K13" s="179"/>
      <c r="L13" s="178"/>
    </row>
    <row r="14" spans="1:15" ht="15.75" thickBot="1">
      <c r="A14" s="175" t="s">
        <v>43</v>
      </c>
      <c r="B14" s="611"/>
      <c r="C14" s="612"/>
      <c r="D14" s="156"/>
      <c r="E14" s="193" t="s">
        <v>44</v>
      </c>
      <c r="F14" s="638"/>
      <c r="G14" s="639"/>
      <c r="H14" s="201" t="e">
        <f>+F14/F12</f>
        <v>#DIV/0!</v>
      </c>
      <c r="K14" s="179"/>
      <c r="L14" s="178"/>
    </row>
    <row r="15" spans="1:15" ht="15.75" thickBot="1">
      <c r="A15" s="177" t="s">
        <v>45</v>
      </c>
      <c r="B15" s="618"/>
      <c r="C15" s="619"/>
      <c r="D15" s="156"/>
      <c r="E15" s="193" t="s">
        <v>46</v>
      </c>
      <c r="F15" s="638"/>
      <c r="G15" s="639"/>
      <c r="H15" s="173" t="s">
        <v>47</v>
      </c>
      <c r="I15" s="172" t="b">
        <v>0</v>
      </c>
      <c r="K15" s="179"/>
      <c r="L15" s="178"/>
    </row>
    <row r="16" spans="1:15" ht="15.75" thickBot="1">
      <c r="A16" s="176" t="s">
        <v>48</v>
      </c>
      <c r="B16" s="627" t="s">
        <v>49</v>
      </c>
      <c r="C16" s="628"/>
      <c r="D16" s="156"/>
      <c r="E16" s="193" t="s">
        <v>50</v>
      </c>
      <c r="F16" s="638"/>
      <c r="G16" s="639"/>
      <c r="H16" s="160" t="s">
        <v>51</v>
      </c>
      <c r="I16" s="159" t="b">
        <v>0</v>
      </c>
      <c r="K16" s="179"/>
      <c r="L16" s="178"/>
    </row>
    <row r="17" spans="1:12" ht="15.75" thickBot="1">
      <c r="A17" s="177" t="s">
        <v>52</v>
      </c>
      <c r="B17" s="692"/>
      <c r="C17" s="693"/>
      <c r="D17" s="156"/>
      <c r="E17" s="193" t="s">
        <v>53</v>
      </c>
      <c r="F17" s="638"/>
      <c r="G17" s="639"/>
      <c r="H17" s="200" t="s">
        <v>54</v>
      </c>
      <c r="I17" s="155" t="b">
        <f>IF(F16&gt;0,TRUE,FALSE)</f>
        <v>0</v>
      </c>
      <c r="K17" s="179"/>
      <c r="L17" s="178"/>
    </row>
    <row r="18" spans="1:12" ht="15.75" thickBot="1">
      <c r="A18" s="748" t="s">
        <v>55</v>
      </c>
      <c r="B18" s="749"/>
      <c r="C18" s="750"/>
      <c r="D18" s="156"/>
      <c r="E18" s="193" t="s">
        <v>56</v>
      </c>
      <c r="F18" s="640">
        <f>SUM(F13:G17)</f>
        <v>0</v>
      </c>
      <c r="G18" s="641"/>
      <c r="H18" s="199">
        <v>0.85</v>
      </c>
      <c r="I18" s="198" t="s">
        <v>57</v>
      </c>
      <c r="K18" s="179"/>
      <c r="L18" s="178"/>
    </row>
    <row r="19" spans="1:12" ht="15.75" thickBot="1">
      <c r="A19" s="197"/>
      <c r="B19" s="694"/>
      <c r="C19" s="695"/>
      <c r="D19" s="156"/>
      <c r="E19" s="193" t="s">
        <v>58</v>
      </c>
      <c r="F19" s="638" t="e">
        <f>+F13/F20</f>
        <v>#DIV/0!</v>
      </c>
      <c r="G19" s="747"/>
      <c r="H19" s="196" t="s">
        <v>59</v>
      </c>
      <c r="I19" s="195" t="b">
        <v>1</v>
      </c>
      <c r="J19" s="155" t="s">
        <v>60</v>
      </c>
      <c r="K19" s="179"/>
      <c r="L19" s="178"/>
    </row>
    <row r="20" spans="1:12">
      <c r="A20" s="176" t="s">
        <v>14</v>
      </c>
      <c r="B20" s="661"/>
      <c r="C20" s="662"/>
      <c r="D20" s="156"/>
      <c r="E20" s="193" t="s">
        <v>61</v>
      </c>
      <c r="F20" s="742"/>
      <c r="G20" s="743"/>
      <c r="H20" s="179" t="e">
        <f>+F14/F13</f>
        <v>#DIV/0!</v>
      </c>
      <c r="I20" s="194" t="e">
        <f>1/H20</f>
        <v>#DIV/0!</v>
      </c>
    </row>
    <row r="21" spans="1:12">
      <c r="A21" s="175" t="s">
        <v>20</v>
      </c>
      <c r="B21" s="631"/>
      <c r="C21" s="632"/>
      <c r="D21" s="156"/>
      <c r="E21" s="193" t="s">
        <v>62</v>
      </c>
      <c r="F21" s="663"/>
      <c r="G21" s="664"/>
      <c r="K21" s="180"/>
    </row>
    <row r="22" spans="1:12" ht="15.75" thickBot="1">
      <c r="A22" s="175" t="s">
        <v>23</v>
      </c>
      <c r="B22" s="631"/>
      <c r="C22" s="632"/>
      <c r="D22" s="156"/>
      <c r="E22" s="192" t="s">
        <v>63</v>
      </c>
      <c r="F22" s="745"/>
      <c r="G22" s="746"/>
      <c r="H22" s="191">
        <f>+F22-F21</f>
        <v>0</v>
      </c>
      <c r="I22" s="191">
        <f>ROUND(+H22/365*2000,-1)</f>
        <v>0</v>
      </c>
      <c r="J22" s="180"/>
      <c r="K22" s="179"/>
    </row>
    <row r="23" spans="1:12" ht="13.5" thickBot="1">
      <c r="A23" s="175" t="s">
        <v>26</v>
      </c>
      <c r="B23" s="631"/>
      <c r="C23" s="632"/>
      <c r="D23" s="156"/>
      <c r="E23" s="190"/>
      <c r="F23" s="744" t="s">
        <v>64</v>
      </c>
      <c r="G23" s="744"/>
      <c r="H23" s="189" t="s">
        <v>65</v>
      </c>
      <c r="I23" s="188" t="b">
        <v>0</v>
      </c>
      <c r="J23" s="180"/>
      <c r="K23" s="179"/>
    </row>
    <row r="24" spans="1:12" ht="13.5" thickBot="1">
      <c r="A24" s="175" t="s">
        <v>29</v>
      </c>
      <c r="B24" s="631"/>
      <c r="C24" s="632"/>
      <c r="D24" s="156"/>
      <c r="E24" s="536" t="s">
        <v>66</v>
      </c>
      <c r="F24" s="537"/>
      <c r="G24" s="538"/>
      <c r="K24" s="179"/>
    </row>
    <row r="25" spans="1:12" ht="13.5" thickBot="1">
      <c r="A25" s="177" t="s">
        <v>32</v>
      </c>
      <c r="B25" s="696"/>
      <c r="C25" s="697"/>
      <c r="D25" s="156"/>
      <c r="E25" s="176" t="s">
        <v>67</v>
      </c>
      <c r="F25" s="665"/>
      <c r="G25" s="666"/>
      <c r="K25" s="179">
        <v>1000</v>
      </c>
    </row>
    <row r="26" spans="1:12" ht="15.75" thickBot="1">
      <c r="A26" s="175" t="s">
        <v>35</v>
      </c>
      <c r="B26" s="631" t="str">
        <f>IF(I$19=TRUE,"n/a","")</f>
        <v>n/a</v>
      </c>
      <c r="C26" s="632"/>
      <c r="D26" s="156"/>
      <c r="E26" s="176" t="s">
        <v>68</v>
      </c>
      <c r="F26" s="642"/>
      <c r="G26" s="643"/>
      <c r="H26" s="187"/>
      <c r="J26" s="180"/>
      <c r="K26" s="179"/>
    </row>
    <row r="27" spans="1:12" ht="15">
      <c r="A27" s="175" t="s">
        <v>33</v>
      </c>
      <c r="B27" s="631" t="str">
        <f>IF(I$19=TRUE,"n/a","")</f>
        <v>n/a</v>
      </c>
      <c r="C27" s="632"/>
      <c r="D27" s="156"/>
      <c r="E27" s="175" t="s">
        <v>69</v>
      </c>
      <c r="F27" s="642"/>
      <c r="G27" s="643"/>
      <c r="H27" s="187"/>
      <c r="J27" s="180"/>
      <c r="K27" s="179"/>
    </row>
    <row r="28" spans="1:12" ht="15.75" thickBot="1">
      <c r="A28" s="177" t="s">
        <v>39</v>
      </c>
      <c r="B28" s="618" t="str">
        <f>IF(I$19=TRUE,"n/a","")</f>
        <v>n/a</v>
      </c>
      <c r="C28" s="619"/>
      <c r="D28" s="156"/>
      <c r="E28" s="175" t="s">
        <v>69</v>
      </c>
      <c r="F28" s="633"/>
      <c r="G28" s="634"/>
      <c r="H28" s="187"/>
      <c r="J28" s="180"/>
      <c r="K28" s="179"/>
    </row>
    <row r="29" spans="1:12" ht="15.75" thickBot="1">
      <c r="A29" s="635" t="s">
        <v>70</v>
      </c>
      <c r="B29" s="636"/>
      <c r="C29" s="637"/>
      <c r="D29" s="156"/>
      <c r="E29" s="175" t="s">
        <v>26</v>
      </c>
      <c r="F29" s="633"/>
      <c r="G29" s="634"/>
      <c r="K29" s="179"/>
      <c r="L29" s="178"/>
    </row>
    <row r="30" spans="1:12" ht="13.5" thickBot="1">
      <c r="A30" s="175" t="s">
        <v>14</v>
      </c>
      <c r="B30" s="642"/>
      <c r="C30" s="643"/>
      <c r="D30" s="156"/>
      <c r="E30" s="175" t="s">
        <v>71</v>
      </c>
      <c r="F30" s="690"/>
      <c r="G30" s="691"/>
    </row>
    <row r="31" spans="1:12" ht="13.5" thickBot="1">
      <c r="A31" s="175" t="s">
        <v>69</v>
      </c>
      <c r="B31" s="633"/>
      <c r="C31" s="634"/>
      <c r="D31" s="156"/>
      <c r="E31" s="177" t="s">
        <v>32</v>
      </c>
      <c r="F31" s="690"/>
      <c r="G31" s="691"/>
      <c r="K31" s="180"/>
    </row>
    <row r="32" spans="1:12">
      <c r="A32" s="175" t="s">
        <v>69</v>
      </c>
      <c r="B32" s="633"/>
      <c r="C32" s="634"/>
      <c r="D32" s="156"/>
      <c r="E32" s="176" t="s">
        <v>35</v>
      </c>
      <c r="F32" s="665"/>
      <c r="G32" s="666"/>
      <c r="J32" s="180"/>
      <c r="K32" s="179"/>
    </row>
    <row r="33" spans="1:12">
      <c r="A33" s="175" t="s">
        <v>26</v>
      </c>
      <c r="B33" s="633"/>
      <c r="C33" s="634"/>
      <c r="D33" s="156"/>
      <c r="E33" s="175" t="s">
        <v>33</v>
      </c>
      <c r="F33" s="620"/>
      <c r="G33" s="621"/>
      <c r="J33" s="180"/>
      <c r="K33" s="179"/>
    </row>
    <row r="34" spans="1:12" ht="13.5" thickBot="1">
      <c r="A34" s="175" t="s">
        <v>71</v>
      </c>
      <c r="B34" s="633"/>
      <c r="C34" s="634"/>
      <c r="D34" s="156"/>
      <c r="E34" s="177" t="s">
        <v>39</v>
      </c>
      <c r="F34" s="658"/>
      <c r="G34" s="659"/>
      <c r="J34" s="180"/>
      <c r="K34" s="179"/>
    </row>
    <row r="35" spans="1:12" ht="13.5" thickBot="1">
      <c r="A35" s="177" t="s">
        <v>32</v>
      </c>
      <c r="B35" s="690"/>
      <c r="C35" s="691"/>
      <c r="D35" s="156"/>
      <c r="E35" s="653" t="s">
        <v>72</v>
      </c>
      <c r="F35" s="654"/>
      <c r="G35" s="655"/>
      <c r="H35" s="186"/>
      <c r="I35" s="185"/>
      <c r="J35" s="180"/>
      <c r="K35" s="179"/>
    </row>
    <row r="36" spans="1:12">
      <c r="A36" s="176" t="s">
        <v>73</v>
      </c>
      <c r="B36" s="622"/>
      <c r="C36" s="623"/>
      <c r="D36" s="156"/>
      <c r="E36" s="167"/>
      <c r="F36" s="914" t="s">
        <v>74</v>
      </c>
      <c r="G36" s="915"/>
      <c r="H36" s="184" t="s">
        <v>75</v>
      </c>
      <c r="I36" s="172" t="b">
        <v>0</v>
      </c>
      <c r="J36" s="180"/>
      <c r="K36" s="179"/>
    </row>
    <row r="37" spans="1:12" ht="15">
      <c r="A37" s="175" t="s">
        <v>33</v>
      </c>
      <c r="B37" s="622"/>
      <c r="C37" s="623"/>
      <c r="D37" s="156"/>
      <c r="E37" s="183" t="s">
        <v>76</v>
      </c>
      <c r="F37" s="651"/>
      <c r="G37" s="652"/>
      <c r="H37" s="182"/>
      <c r="I37" s="164"/>
      <c r="J37" s="180"/>
      <c r="K37" s="179"/>
    </row>
    <row r="38" spans="1:12" ht="13.5" thickBot="1">
      <c r="A38" s="177" t="s">
        <v>39</v>
      </c>
      <c r="B38" s="658"/>
      <c r="C38" s="659"/>
      <c r="D38" s="156"/>
      <c r="E38" s="535"/>
      <c r="F38" s="916" t="s">
        <v>77</v>
      </c>
      <c r="G38" s="917"/>
      <c r="H38" s="181" t="s">
        <v>78</v>
      </c>
      <c r="I38" s="159" t="b">
        <v>0</v>
      </c>
      <c r="J38" s="180"/>
      <c r="K38" s="179"/>
    </row>
    <row r="39" spans="1:12" ht="15">
      <c r="A39" s="176" t="s">
        <v>48</v>
      </c>
      <c r="B39" s="627" t="s">
        <v>49</v>
      </c>
      <c r="C39" s="628"/>
      <c r="D39" s="156"/>
      <c r="E39" s="167" t="s">
        <v>79</v>
      </c>
      <c r="F39" s="660"/>
      <c r="G39" s="660"/>
      <c r="J39" s="180"/>
      <c r="K39" s="179"/>
      <c r="L39" s="178"/>
    </row>
    <row r="40" spans="1:12" ht="15.75" thickBot="1">
      <c r="A40" s="177" t="s">
        <v>52</v>
      </c>
      <c r="B40" s="629"/>
      <c r="C40" s="630"/>
      <c r="D40" s="156"/>
      <c r="E40" s="167" t="s">
        <v>80</v>
      </c>
      <c r="F40" s="660"/>
      <c r="G40" s="660"/>
      <c r="J40" s="180"/>
      <c r="K40" s="179"/>
      <c r="L40" s="178"/>
    </row>
    <row r="41" spans="1:12" ht="15.75" thickBot="1">
      <c r="A41" s="624" t="s">
        <v>81</v>
      </c>
      <c r="B41" s="625"/>
      <c r="C41" s="626"/>
      <c r="D41" s="156"/>
      <c r="E41" s="167" t="str">
        <f>"Wage Rate adds paid hoildays - +A"</f>
        <v>Wage Rate adds paid hoildays - +A</v>
      </c>
      <c r="F41" s="660"/>
      <c r="G41" s="660"/>
      <c r="J41" s="180"/>
      <c r="K41" s="179"/>
      <c r="L41" s="178"/>
    </row>
    <row r="42" spans="1:12" ht="13.5" thickBot="1">
      <c r="A42" s="175" t="s">
        <v>82</v>
      </c>
      <c r="B42" s="661">
        <f>+B2</f>
        <v>0</v>
      </c>
      <c r="C42" s="662"/>
      <c r="D42" s="156"/>
      <c r="E42" s="653" t="s">
        <v>83</v>
      </c>
      <c r="F42" s="701"/>
      <c r="G42" s="702"/>
    </row>
    <row r="43" spans="1:12">
      <c r="A43" s="175" t="s">
        <v>20</v>
      </c>
      <c r="B43" s="656"/>
      <c r="C43" s="657"/>
      <c r="D43" s="156"/>
      <c r="E43" s="176" t="s">
        <v>14</v>
      </c>
      <c r="F43" s="642"/>
      <c r="G43" s="643"/>
      <c r="H43" s="173" t="s">
        <v>84</v>
      </c>
      <c r="I43" s="172" t="b">
        <v>0</v>
      </c>
    </row>
    <row r="44" spans="1:12" ht="13.5" thickBot="1">
      <c r="A44" s="175" t="s">
        <v>23</v>
      </c>
      <c r="B44" s="656"/>
      <c r="C44" s="657"/>
      <c r="D44" s="156"/>
      <c r="E44" s="175" t="s">
        <v>69</v>
      </c>
      <c r="F44" s="633"/>
      <c r="G44" s="634"/>
      <c r="H44" s="160" t="s">
        <v>85</v>
      </c>
      <c r="I44" s="159" t="b">
        <v>0</v>
      </c>
    </row>
    <row r="45" spans="1:12" ht="13.5" thickBot="1">
      <c r="A45" s="175" t="s">
        <v>86</v>
      </c>
      <c r="B45" s="730"/>
      <c r="C45" s="731"/>
      <c r="D45" s="156"/>
      <c r="E45" s="175" t="s">
        <v>69</v>
      </c>
      <c r="F45" s="633"/>
      <c r="G45" s="634"/>
    </row>
    <row r="46" spans="1:12">
      <c r="A46" s="176" t="s">
        <v>87</v>
      </c>
      <c r="B46" s="732"/>
      <c r="C46" s="733"/>
      <c r="D46" s="156"/>
      <c r="E46" s="175" t="s">
        <v>26</v>
      </c>
      <c r="F46" s="633"/>
      <c r="G46" s="634"/>
    </row>
    <row r="47" spans="1:12">
      <c r="A47" s="175" t="s">
        <v>88</v>
      </c>
      <c r="B47" s="622"/>
      <c r="C47" s="623"/>
      <c r="D47" s="156"/>
      <c r="E47" s="175" t="s">
        <v>71</v>
      </c>
      <c r="F47" s="633"/>
      <c r="G47" s="634"/>
    </row>
    <row r="48" spans="1:12" ht="13.5" thickBot="1">
      <c r="A48" s="177" t="s">
        <v>89</v>
      </c>
      <c r="B48" s="658"/>
      <c r="C48" s="659"/>
      <c r="D48" s="156"/>
      <c r="E48" s="177" t="s">
        <v>32</v>
      </c>
      <c r="F48" s="690"/>
      <c r="G48" s="691"/>
    </row>
    <row r="49" spans="1:9" ht="15.75" customHeight="1" thickBot="1">
      <c r="A49" s="624" t="s">
        <v>90</v>
      </c>
      <c r="B49" s="625"/>
      <c r="C49" s="626"/>
      <c r="D49" s="156"/>
      <c r="E49" s="176" t="s">
        <v>91</v>
      </c>
      <c r="F49" s="622"/>
      <c r="G49" s="623"/>
    </row>
    <row r="50" spans="1:9" ht="13.5" customHeight="1" thickBot="1">
      <c r="A50" s="167"/>
      <c r="B50" s="649" t="s">
        <v>92</v>
      </c>
      <c r="C50" s="650"/>
      <c r="D50" s="156"/>
      <c r="E50" s="175" t="s">
        <v>93</v>
      </c>
      <c r="F50" s="622"/>
      <c r="G50" s="623"/>
    </row>
    <row r="51" spans="1:9" ht="13.5" thickBot="1">
      <c r="A51" s="535"/>
      <c r="B51" s="678" t="s">
        <v>77</v>
      </c>
      <c r="C51" s="679"/>
      <c r="D51" s="156"/>
      <c r="E51" s="175" t="s">
        <v>94</v>
      </c>
      <c r="F51" s="658"/>
      <c r="G51" s="659"/>
      <c r="H51" s="173" t="s">
        <v>34</v>
      </c>
      <c r="I51" s="172" t="b">
        <v>0</v>
      </c>
    </row>
    <row r="52" spans="1:9" ht="31.5" customHeight="1" thickBot="1">
      <c r="A52" s="734" t="s">
        <v>95</v>
      </c>
      <c r="B52" s="735"/>
      <c r="C52" s="736"/>
      <c r="D52" s="174"/>
      <c r="E52" s="624" t="s">
        <v>96</v>
      </c>
      <c r="F52" s="625"/>
      <c r="G52" s="626"/>
    </row>
    <row r="53" spans="1:9" ht="13.5" customHeight="1">
      <c r="A53" s="167"/>
      <c r="B53" s="649" t="s">
        <v>97</v>
      </c>
      <c r="C53" s="650"/>
      <c r="D53" s="156"/>
      <c r="E53" s="167"/>
      <c r="F53" s="533" t="s">
        <v>33</v>
      </c>
      <c r="G53" s="534"/>
    </row>
    <row r="54" spans="1:9" ht="13.5" thickBot="1">
      <c r="A54" s="535"/>
      <c r="B54" s="678" t="s">
        <v>98</v>
      </c>
      <c r="C54" s="679"/>
      <c r="D54" s="156"/>
      <c r="E54" s="535"/>
      <c r="F54" s="531" t="s">
        <v>99</v>
      </c>
      <c r="G54" s="532"/>
    </row>
    <row r="55" spans="1:9" ht="13.5" thickBot="1">
      <c r="A55" s="624" t="s">
        <v>100</v>
      </c>
      <c r="B55" s="625"/>
      <c r="C55" s="626"/>
      <c r="D55" s="156"/>
      <c r="E55" s="667" t="s">
        <v>101</v>
      </c>
      <c r="F55" s="668"/>
      <c r="G55" s="669"/>
      <c r="H55" s="173" t="s">
        <v>102</v>
      </c>
      <c r="I55" s="172" t="b">
        <v>0</v>
      </c>
    </row>
    <row r="56" spans="1:9">
      <c r="A56" s="167"/>
      <c r="B56" s="649" t="s">
        <v>92</v>
      </c>
      <c r="C56" s="650"/>
      <c r="D56" s="156"/>
      <c r="E56" s="167"/>
      <c r="F56" s="647" t="s">
        <v>92</v>
      </c>
      <c r="G56" s="648"/>
      <c r="H56" s="173" t="s">
        <v>103</v>
      </c>
      <c r="I56" s="172" t="b">
        <v>0</v>
      </c>
    </row>
    <row r="57" spans="1:9" ht="13.5" thickBot="1">
      <c r="A57" s="535"/>
      <c r="B57" s="678" t="s">
        <v>77</v>
      </c>
      <c r="C57" s="679"/>
      <c r="D57" s="156"/>
      <c r="E57" s="535"/>
      <c r="F57" s="678" t="s">
        <v>104</v>
      </c>
      <c r="G57" s="679"/>
      <c r="H57" s="165" t="s">
        <v>105</v>
      </c>
      <c r="I57" s="164" t="b">
        <v>0</v>
      </c>
    </row>
    <row r="58" spans="1:9" ht="13.5" thickBot="1">
      <c r="A58" s="624" t="s">
        <v>106</v>
      </c>
      <c r="B58" s="625"/>
      <c r="C58" s="626"/>
      <c r="D58" s="156"/>
      <c r="E58" s="171" t="s">
        <v>107</v>
      </c>
      <c r="F58" s="170"/>
      <c r="G58" s="169"/>
      <c r="H58" s="165" t="s">
        <v>108</v>
      </c>
      <c r="I58" s="164" t="b">
        <v>0</v>
      </c>
    </row>
    <row r="59" spans="1:9">
      <c r="A59" s="167"/>
      <c r="B59" s="649" t="s">
        <v>109</v>
      </c>
      <c r="C59" s="650"/>
      <c r="D59" s="156"/>
      <c r="E59" s="167"/>
      <c r="F59" s="156" t="s">
        <v>110</v>
      </c>
      <c r="H59" s="165" t="s">
        <v>111</v>
      </c>
      <c r="I59" s="164" t="b">
        <v>0</v>
      </c>
    </row>
    <row r="60" spans="1:9">
      <c r="A60" s="718"/>
      <c r="B60" s="719"/>
      <c r="C60" s="720"/>
      <c r="D60" s="156"/>
      <c r="E60" s="167"/>
      <c r="F60" s="156" t="s">
        <v>112</v>
      </c>
      <c r="H60" s="165" t="s">
        <v>113</v>
      </c>
      <c r="I60" s="164" t="b">
        <v>0</v>
      </c>
    </row>
    <row r="61" spans="1:9">
      <c r="A61" s="721"/>
      <c r="B61" s="722"/>
      <c r="C61" s="723"/>
      <c r="D61" s="156"/>
      <c r="E61" s="167"/>
      <c r="F61" s="156" t="s">
        <v>114</v>
      </c>
      <c r="H61" s="165" t="s">
        <v>115</v>
      </c>
      <c r="I61" s="164" t="b">
        <v>0</v>
      </c>
    </row>
    <row r="62" spans="1:9">
      <c r="A62" s="721"/>
      <c r="B62" s="722"/>
      <c r="C62" s="723"/>
      <c r="D62" s="156"/>
      <c r="E62" s="167"/>
      <c r="F62" s="156" t="s">
        <v>116</v>
      </c>
      <c r="H62" s="165" t="s">
        <v>117</v>
      </c>
      <c r="I62" s="164" t="b">
        <v>0</v>
      </c>
    </row>
    <row r="63" spans="1:9" ht="13.5" thickBot="1">
      <c r="A63" s="724"/>
      <c r="B63" s="725"/>
      <c r="C63" s="726"/>
      <c r="D63" s="156"/>
      <c r="E63" s="168"/>
      <c r="F63" s="156" t="s">
        <v>118</v>
      </c>
      <c r="H63" s="165" t="s">
        <v>119</v>
      </c>
      <c r="I63" s="164" t="b">
        <v>0</v>
      </c>
    </row>
    <row r="64" spans="1:9" ht="13.5" thickBot="1">
      <c r="A64" s="624" t="s">
        <v>120</v>
      </c>
      <c r="B64" s="625"/>
      <c r="C64" s="626"/>
      <c r="D64" s="156"/>
      <c r="E64" s="535" t="s">
        <v>36</v>
      </c>
      <c r="F64" s="717"/>
      <c r="G64" s="717"/>
      <c r="H64" s="165" t="s">
        <v>121</v>
      </c>
      <c r="I64" s="164" t="b">
        <v>0</v>
      </c>
    </row>
    <row r="65" spans="1:9" ht="15.75" thickBot="1">
      <c r="A65" s="167"/>
      <c r="B65" s="649" t="s">
        <v>122</v>
      </c>
      <c r="C65" s="650"/>
      <c r="D65" s="156"/>
      <c r="E65" s="713" t="s">
        <v>123</v>
      </c>
      <c r="F65" s="714"/>
      <c r="G65" s="166" t="s">
        <v>124</v>
      </c>
      <c r="H65" s="165" t="s">
        <v>125</v>
      </c>
      <c r="I65" s="164" t="b">
        <v>0</v>
      </c>
    </row>
    <row r="66" spans="1:9" ht="13.5" customHeight="1" thickBot="1">
      <c r="A66" s="535"/>
      <c r="B66" s="678" t="s">
        <v>77</v>
      </c>
      <c r="C66" s="679"/>
      <c r="D66" s="156"/>
      <c r="E66" s="703" t="s">
        <v>92</v>
      </c>
      <c r="F66" s="704"/>
      <c r="G66" s="707" t="s">
        <v>92</v>
      </c>
      <c r="H66" s="160" t="s">
        <v>126</v>
      </c>
      <c r="I66" s="159" t="b">
        <v>0</v>
      </c>
    </row>
    <row r="67" spans="1:9" ht="13.5" customHeight="1" thickBot="1">
      <c r="A67" s="727" t="s">
        <v>127</v>
      </c>
      <c r="B67" s="728"/>
      <c r="C67" s="729"/>
      <c r="D67" s="162"/>
      <c r="E67" s="705"/>
      <c r="F67" s="706"/>
      <c r="G67" s="708"/>
      <c r="H67" s="160" t="s">
        <v>128</v>
      </c>
      <c r="I67" s="159" t="b">
        <v>0</v>
      </c>
    </row>
    <row r="68" spans="1:9" ht="36" customHeight="1" thickBot="1">
      <c r="A68" s="672"/>
      <c r="B68" s="673"/>
      <c r="C68" s="674"/>
      <c r="E68" s="709" t="s">
        <v>77</v>
      </c>
      <c r="F68" s="710"/>
      <c r="G68" s="715" t="s">
        <v>77</v>
      </c>
      <c r="H68" s="160" t="s">
        <v>129</v>
      </c>
      <c r="I68" s="159" t="b">
        <v>0</v>
      </c>
    </row>
    <row r="69" spans="1:9" ht="13.5" thickBot="1">
      <c r="A69" s="675"/>
      <c r="B69" s="676"/>
      <c r="C69" s="677"/>
      <c r="D69" s="163"/>
      <c r="E69" s="711"/>
      <c r="F69" s="712"/>
      <c r="G69" s="716"/>
      <c r="H69" s="160" t="s">
        <v>130</v>
      </c>
      <c r="I69" s="159" t="b">
        <v>1</v>
      </c>
    </row>
    <row r="70" spans="1:9" ht="13.5" thickBot="1">
      <c r="A70" s="675"/>
      <c r="B70" s="676"/>
      <c r="C70" s="677"/>
      <c r="E70" s="162"/>
      <c r="F70" s="162"/>
      <c r="G70" s="161"/>
      <c r="H70" s="160" t="s">
        <v>131</v>
      </c>
      <c r="I70" s="159" t="b">
        <v>0</v>
      </c>
    </row>
    <row r="71" spans="1:9" ht="56.25" customHeight="1" thickBot="1">
      <c r="A71" s="157" t="s">
        <v>132</v>
      </c>
      <c r="B71" s="158"/>
      <c r="C71" s="157" t="s">
        <v>133</v>
      </c>
      <c r="E71" s="698" t="s">
        <v>134</v>
      </c>
      <c r="F71" s="699"/>
      <c r="G71" s="700"/>
    </row>
  </sheetData>
  <mergeCells count="125">
    <mergeCell ref="B1:C1"/>
    <mergeCell ref="E1:G1"/>
    <mergeCell ref="F39:G39"/>
    <mergeCell ref="F40:G40"/>
    <mergeCell ref="F10:G10"/>
    <mergeCell ref="F20:G20"/>
    <mergeCell ref="B13:C13"/>
    <mergeCell ref="F23:G23"/>
    <mergeCell ref="B28:C28"/>
    <mergeCell ref="B36:C36"/>
    <mergeCell ref="B37:C37"/>
    <mergeCell ref="B33:C33"/>
    <mergeCell ref="F22:G22"/>
    <mergeCell ref="F15:G15"/>
    <mergeCell ref="F19:G19"/>
    <mergeCell ref="A18:C18"/>
    <mergeCell ref="F26:G26"/>
    <mergeCell ref="F30:G30"/>
    <mergeCell ref="F31:G31"/>
    <mergeCell ref="B26:C26"/>
    <mergeCell ref="B27:C27"/>
    <mergeCell ref="B6:C6"/>
    <mergeCell ref="F6:G6"/>
    <mergeCell ref="B7:C7"/>
    <mergeCell ref="A60:C63"/>
    <mergeCell ref="A67:C67"/>
    <mergeCell ref="B66:C66"/>
    <mergeCell ref="B44:C44"/>
    <mergeCell ref="B45:C45"/>
    <mergeCell ref="B46:C46"/>
    <mergeCell ref="A64:C64"/>
    <mergeCell ref="B50:C50"/>
    <mergeCell ref="B51:C51"/>
    <mergeCell ref="B48:C48"/>
    <mergeCell ref="A58:C58"/>
    <mergeCell ref="B59:C59"/>
    <mergeCell ref="A52:C52"/>
    <mergeCell ref="B57:C57"/>
    <mergeCell ref="B53:C53"/>
    <mergeCell ref="B54:C54"/>
    <mergeCell ref="E71:G71"/>
    <mergeCell ref="F27:G27"/>
    <mergeCell ref="F28:G28"/>
    <mergeCell ref="F29:G29"/>
    <mergeCell ref="F32:G32"/>
    <mergeCell ref="E42:G42"/>
    <mergeCell ref="F45:G45"/>
    <mergeCell ref="F48:G48"/>
    <mergeCell ref="F49:G49"/>
    <mergeCell ref="F50:G50"/>
    <mergeCell ref="F51:G51"/>
    <mergeCell ref="E66:F67"/>
    <mergeCell ref="G66:G67"/>
    <mergeCell ref="E68:F69"/>
    <mergeCell ref="E65:F65"/>
    <mergeCell ref="G68:G69"/>
    <mergeCell ref="F46:G46"/>
    <mergeCell ref="F64:G64"/>
    <mergeCell ref="F47:G47"/>
    <mergeCell ref="A68:C70"/>
    <mergeCell ref="F43:G43"/>
    <mergeCell ref="B65:C65"/>
    <mergeCell ref="F44:G44"/>
    <mergeCell ref="F57:G57"/>
    <mergeCell ref="F36:G36"/>
    <mergeCell ref="F34:G34"/>
    <mergeCell ref="B2:C2"/>
    <mergeCell ref="F2:G2"/>
    <mergeCell ref="E3:E4"/>
    <mergeCell ref="B5:C5"/>
    <mergeCell ref="B4:C4"/>
    <mergeCell ref="A3:C3"/>
    <mergeCell ref="E5:G5"/>
    <mergeCell ref="B34:C34"/>
    <mergeCell ref="B35:C35"/>
    <mergeCell ref="B16:C16"/>
    <mergeCell ref="B17:C17"/>
    <mergeCell ref="B20:C20"/>
    <mergeCell ref="B21:C21"/>
    <mergeCell ref="B19:C19"/>
    <mergeCell ref="B32:C32"/>
    <mergeCell ref="B24:C24"/>
    <mergeCell ref="B25:C25"/>
    <mergeCell ref="F7:G7"/>
    <mergeCell ref="B8:C8"/>
    <mergeCell ref="F12:G12"/>
    <mergeCell ref="F8:G8"/>
    <mergeCell ref="E52:G52"/>
    <mergeCell ref="F56:G56"/>
    <mergeCell ref="A55:C55"/>
    <mergeCell ref="B56:C56"/>
    <mergeCell ref="F37:G37"/>
    <mergeCell ref="F38:G38"/>
    <mergeCell ref="E35:G35"/>
    <mergeCell ref="B43:C43"/>
    <mergeCell ref="B38:C38"/>
    <mergeCell ref="F41:G41"/>
    <mergeCell ref="B42:C42"/>
    <mergeCell ref="F14:G14"/>
    <mergeCell ref="F21:G21"/>
    <mergeCell ref="F25:G25"/>
    <mergeCell ref="F17:G17"/>
    <mergeCell ref="F16:G16"/>
    <mergeCell ref="A49:C49"/>
    <mergeCell ref="E55:G55"/>
    <mergeCell ref="B9:C9"/>
    <mergeCell ref="B10:C10"/>
    <mergeCell ref="B11:C11"/>
    <mergeCell ref="E11:G11"/>
    <mergeCell ref="F9:G9"/>
    <mergeCell ref="B14:C14"/>
    <mergeCell ref="B15:C15"/>
    <mergeCell ref="F33:G33"/>
    <mergeCell ref="B47:C47"/>
    <mergeCell ref="A41:C41"/>
    <mergeCell ref="B39:C39"/>
    <mergeCell ref="B40:C40"/>
    <mergeCell ref="B23:C23"/>
    <mergeCell ref="B31:C31"/>
    <mergeCell ref="B12:C12"/>
    <mergeCell ref="A29:C29"/>
    <mergeCell ref="F13:G13"/>
    <mergeCell ref="F18:G18"/>
    <mergeCell ref="B30:C30"/>
    <mergeCell ref="B22:C22"/>
  </mergeCells>
  <dataValidations count="2">
    <dataValidation type="list" allowBlank="1" showInputMessage="1" showErrorMessage="1" sqref="B1:C1" xr:uid="{5D52C6EE-CC9F-4864-B714-9EACAA41D21E}">
      <formula1>$M$3:$M$5</formula1>
    </dataValidation>
    <dataValidation type="list" allowBlank="1" showInputMessage="1" showErrorMessage="1" sqref="F41:G41" xr:uid="{E1500A34-9B87-4BD4-B108-D854CF592FB8}">
      <formula1>$O$2:$O$4</formula1>
    </dataValidation>
  </dataValidations>
  <printOptions horizontalCentered="1" verticalCentered="1"/>
  <pageMargins left="0.2" right="0.2" top="0.25" bottom="0.25" header="0.3" footer="0.3"/>
  <pageSetup scale="7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defaultSize="0" autoFill="0" autoLine="0" autoPict="0">
                <anchor moveWithCells="1">
                  <from>
                    <xdr:col>5</xdr:col>
                    <xdr:colOff>19050</xdr:colOff>
                    <xdr:row>2</xdr:row>
                    <xdr:rowOff>0</xdr:rowOff>
                  </from>
                  <to>
                    <xdr:col>6</xdr:col>
                    <xdr:colOff>38100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defaultSize="0" autoFill="0" autoLine="0" autoPict="0">
                <anchor moveWithCells="1">
                  <from>
                    <xdr:col>12</xdr:col>
                    <xdr:colOff>38100</xdr:colOff>
                    <xdr:row>63</xdr:row>
                    <xdr:rowOff>0</xdr:rowOff>
                  </from>
                  <to>
                    <xdr:col>13</xdr:col>
                    <xdr:colOff>0</xdr:colOff>
                    <xdr:row>65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Fill="0" autoLine="0" autoPict="0">
                <anchor moveWithCells="1">
                  <from>
                    <xdr:col>5</xdr:col>
                    <xdr:colOff>19050</xdr:colOff>
                    <xdr:row>2</xdr:row>
                    <xdr:rowOff>142875</xdr:rowOff>
                  </from>
                  <to>
                    <xdr:col>6</xdr:col>
                    <xdr:colOff>38100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Check Box 4">
              <controlPr defaultSize="0" autoFill="0" autoLine="0" autoPict="0">
                <anchor moveWithCells="1">
                  <from>
                    <xdr:col>0</xdr:col>
                    <xdr:colOff>9525</xdr:colOff>
                    <xdr:row>17</xdr:row>
                    <xdr:rowOff>47625</xdr:rowOff>
                  </from>
                  <to>
                    <xdr:col>2</xdr:col>
                    <xdr:colOff>2514600</xdr:colOff>
                    <xdr:row>19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Check Box 5">
              <controlPr defaultSize="0" autoFill="0" autoLine="0" autoPict="0">
                <anchor moveWithCells="1">
                  <from>
                    <xdr:col>4</xdr:col>
                    <xdr:colOff>962025</xdr:colOff>
                    <xdr:row>4</xdr:row>
                    <xdr:rowOff>133350</xdr:rowOff>
                  </from>
                  <to>
                    <xdr:col>4</xdr:col>
                    <xdr:colOff>1171575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9" name="Check Box 6">
              <controlPr defaultSize="0" autoFill="0" autoLine="0" autoPict="0">
                <anchor moveWithCells="1">
                  <from>
                    <xdr:col>4</xdr:col>
                    <xdr:colOff>962025</xdr:colOff>
                    <xdr:row>5</xdr:row>
                    <xdr:rowOff>133350</xdr:rowOff>
                  </from>
                  <to>
                    <xdr:col>4</xdr:col>
                    <xdr:colOff>1171575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0" name="Check Box 7">
              <controlPr defaultSize="0" autoFill="0" autoLine="0" autoPict="0">
                <anchor moveWithCells="1">
                  <from>
                    <xdr:col>4</xdr:col>
                    <xdr:colOff>962025</xdr:colOff>
                    <xdr:row>6</xdr:row>
                    <xdr:rowOff>123825</xdr:rowOff>
                  </from>
                  <to>
                    <xdr:col>4</xdr:col>
                    <xdr:colOff>1171575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1" name="Check Box 8">
              <controlPr defaultSize="0" autoFill="0" autoLine="0" autoPict="0">
                <anchor moveWithCells="1">
                  <from>
                    <xdr:col>4</xdr:col>
                    <xdr:colOff>971550</xdr:colOff>
                    <xdr:row>7</xdr:row>
                    <xdr:rowOff>142875</xdr:rowOff>
                  </from>
                  <to>
                    <xdr:col>4</xdr:col>
                    <xdr:colOff>1181100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2" name="Check Box 9">
              <controlPr defaultSize="0" autoFill="0" autoLine="0" autoPict="0">
                <anchor moveWithCells="1">
                  <from>
                    <xdr:col>4</xdr:col>
                    <xdr:colOff>962025</xdr:colOff>
                    <xdr:row>8</xdr:row>
                    <xdr:rowOff>133350</xdr:rowOff>
                  </from>
                  <to>
                    <xdr:col>4</xdr:col>
                    <xdr:colOff>1171575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3" name="Check Box 10">
              <controlPr defaultSize="0" autoFill="0" autoLine="0" autoPict="0">
                <anchor moveWithCells="1">
                  <from>
                    <xdr:col>4</xdr:col>
                    <xdr:colOff>962025</xdr:colOff>
                    <xdr:row>36</xdr:row>
                    <xdr:rowOff>142875</xdr:rowOff>
                  </from>
                  <to>
                    <xdr:col>4</xdr:col>
                    <xdr:colOff>1171575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4" name="Check Box 11">
              <controlPr defaultSize="0" autoFill="0" autoLine="0" autoPict="0">
                <anchor moveWithCells="1">
                  <from>
                    <xdr:col>4</xdr:col>
                    <xdr:colOff>981075</xdr:colOff>
                    <xdr:row>34</xdr:row>
                    <xdr:rowOff>142875</xdr:rowOff>
                  </from>
                  <to>
                    <xdr:col>4</xdr:col>
                    <xdr:colOff>1190625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5" name="Check Box 12">
              <controlPr defaultSize="0" autoFill="0" autoLine="0" autoPict="0">
                <anchor moveWithCells="1">
                  <from>
                    <xdr:col>4</xdr:col>
                    <xdr:colOff>962025</xdr:colOff>
                    <xdr:row>52</xdr:row>
                    <xdr:rowOff>142875</xdr:rowOff>
                  </from>
                  <to>
                    <xdr:col>4</xdr:col>
                    <xdr:colOff>1171575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6" name="Check Box 13">
              <controlPr defaultSize="0" autoFill="0" autoLine="0" autoPict="0">
                <anchor moveWithCells="1">
                  <from>
                    <xdr:col>4</xdr:col>
                    <xdr:colOff>962025</xdr:colOff>
                    <xdr:row>51</xdr:row>
                    <xdr:rowOff>133350</xdr:rowOff>
                  </from>
                  <to>
                    <xdr:col>4</xdr:col>
                    <xdr:colOff>1171575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7" name="Check Box 14">
              <controlPr defaultSize="0" autoFill="0" autoLine="0" autoPict="0">
                <anchor moveWithCells="1">
                  <from>
                    <xdr:col>0</xdr:col>
                    <xdr:colOff>962025</xdr:colOff>
                    <xdr:row>52</xdr:row>
                    <xdr:rowOff>133350</xdr:rowOff>
                  </from>
                  <to>
                    <xdr:col>0</xdr:col>
                    <xdr:colOff>1171575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8" name="Check Box 15">
              <controlPr defaultSize="0" autoFill="0" autoLine="0" autoPict="0">
                <anchor moveWithCells="1">
                  <from>
                    <xdr:col>0</xdr:col>
                    <xdr:colOff>962025</xdr:colOff>
                    <xdr:row>55</xdr:row>
                    <xdr:rowOff>142875</xdr:rowOff>
                  </from>
                  <to>
                    <xdr:col>0</xdr:col>
                    <xdr:colOff>1171575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19" name="Check Box 16">
              <controlPr defaultSize="0" autoFill="0" autoLine="0" autoPict="0">
                <anchor moveWithCells="1">
                  <from>
                    <xdr:col>0</xdr:col>
                    <xdr:colOff>981075</xdr:colOff>
                    <xdr:row>54</xdr:row>
                    <xdr:rowOff>142875</xdr:rowOff>
                  </from>
                  <to>
                    <xdr:col>0</xdr:col>
                    <xdr:colOff>1190625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0" name="Check Box 17">
              <controlPr defaultSize="0" autoFill="0" autoLine="0" autoPict="0">
                <anchor moveWithCells="1">
                  <from>
                    <xdr:col>4</xdr:col>
                    <xdr:colOff>981075</xdr:colOff>
                    <xdr:row>61</xdr:row>
                    <xdr:rowOff>133350</xdr:rowOff>
                  </from>
                  <to>
                    <xdr:col>4</xdr:col>
                    <xdr:colOff>1190625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2" r:id="rId21" name="Check Box 18">
              <controlPr defaultSize="0" autoFill="0" autoLine="0" autoPict="0">
                <anchor moveWithCells="1">
                  <from>
                    <xdr:col>4</xdr:col>
                    <xdr:colOff>981075</xdr:colOff>
                    <xdr:row>57</xdr:row>
                    <xdr:rowOff>142875</xdr:rowOff>
                  </from>
                  <to>
                    <xdr:col>4</xdr:col>
                    <xdr:colOff>1190625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3" r:id="rId22" name="Check Box 19">
              <controlPr defaultSize="0" autoFill="0" autoLine="0" autoPict="0">
                <anchor moveWithCells="1">
                  <from>
                    <xdr:col>4</xdr:col>
                    <xdr:colOff>981075</xdr:colOff>
                    <xdr:row>59</xdr:row>
                    <xdr:rowOff>142875</xdr:rowOff>
                  </from>
                  <to>
                    <xdr:col>4</xdr:col>
                    <xdr:colOff>1190625</xdr:colOff>
                    <xdr:row>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4" r:id="rId23" name="Check Box 20">
              <controlPr defaultSize="0" autoFill="0" autoLine="0" autoPict="0">
                <anchor moveWithCells="1">
                  <from>
                    <xdr:col>4</xdr:col>
                    <xdr:colOff>981075</xdr:colOff>
                    <xdr:row>60</xdr:row>
                    <xdr:rowOff>142875</xdr:rowOff>
                  </from>
                  <to>
                    <xdr:col>4</xdr:col>
                    <xdr:colOff>1190625</xdr:colOff>
                    <xdr:row>62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5" r:id="rId24" name="Check Box 21">
              <controlPr defaultSize="0" autoFill="0" autoLine="0" autoPict="0">
                <anchor moveWithCells="1">
                  <from>
                    <xdr:col>4</xdr:col>
                    <xdr:colOff>981075</xdr:colOff>
                    <xdr:row>62</xdr:row>
                    <xdr:rowOff>142875</xdr:rowOff>
                  </from>
                  <to>
                    <xdr:col>4</xdr:col>
                    <xdr:colOff>1190625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6" r:id="rId25" name="Check Box 22">
              <controlPr defaultSize="0" autoFill="0" autoLine="0" autoPict="0">
                <anchor moveWithCells="1">
                  <from>
                    <xdr:col>0</xdr:col>
                    <xdr:colOff>981075</xdr:colOff>
                    <xdr:row>57</xdr:row>
                    <xdr:rowOff>142875</xdr:rowOff>
                  </from>
                  <to>
                    <xdr:col>0</xdr:col>
                    <xdr:colOff>1190625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7" r:id="rId26" name="Check Box 23">
              <controlPr defaultSize="0" autoFill="0" autoLine="0" autoPict="0">
                <anchor moveWithCells="1">
                  <from>
                    <xdr:col>4</xdr:col>
                    <xdr:colOff>828675</xdr:colOff>
                    <xdr:row>21</xdr:row>
                    <xdr:rowOff>133350</xdr:rowOff>
                  </from>
                  <to>
                    <xdr:col>4</xdr:col>
                    <xdr:colOff>1038225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8" r:id="rId27" name="Check Box 24">
              <controlPr defaultSize="0" autoFill="0" autoLine="0" autoPict="0">
                <anchor moveWithCells="1">
                  <from>
                    <xdr:col>4</xdr:col>
                    <xdr:colOff>971550</xdr:colOff>
                    <xdr:row>58</xdr:row>
                    <xdr:rowOff>152400</xdr:rowOff>
                  </from>
                  <to>
                    <xdr:col>4</xdr:col>
                    <xdr:colOff>1181100</xdr:colOff>
                    <xdr:row>60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9" r:id="rId28" name="Check Box 25">
              <controlPr defaultSize="0" autoFill="0" autoLine="0" autoPict="0">
                <anchor moveWithCells="1">
                  <from>
                    <xdr:col>1</xdr:col>
                    <xdr:colOff>57150</xdr:colOff>
                    <xdr:row>37</xdr:row>
                    <xdr:rowOff>142875</xdr:rowOff>
                  </from>
                  <to>
                    <xdr:col>2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0" r:id="rId29" name="Check Box 26">
              <controlPr defaultSize="0" autoFill="0" autoLine="0" autoPict="0">
                <anchor moveWithCells="1">
                  <from>
                    <xdr:col>2</xdr:col>
                    <xdr:colOff>1219200</xdr:colOff>
                    <xdr:row>37</xdr:row>
                    <xdr:rowOff>152400</xdr:rowOff>
                  </from>
                  <to>
                    <xdr:col>2</xdr:col>
                    <xdr:colOff>1428750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1" r:id="rId30" name="Check Box 27">
              <controlPr defaultSize="0" autoFill="0" autoLine="0" autoPict="0">
                <anchor moveWithCells="1">
                  <from>
                    <xdr:col>1</xdr:col>
                    <xdr:colOff>57150</xdr:colOff>
                    <xdr:row>14</xdr:row>
                    <xdr:rowOff>142875</xdr:rowOff>
                  </from>
                  <to>
                    <xdr:col>2</xdr:col>
                    <xdr:colOff>76200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2" r:id="rId31" name="Check Box 28">
              <controlPr defaultSize="0" autoFill="0" autoLine="0" autoPict="0">
                <anchor moveWithCells="1">
                  <from>
                    <xdr:col>2</xdr:col>
                    <xdr:colOff>1219200</xdr:colOff>
                    <xdr:row>14</xdr:row>
                    <xdr:rowOff>152400</xdr:rowOff>
                  </from>
                  <to>
                    <xdr:col>2</xdr:col>
                    <xdr:colOff>1428750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3" r:id="rId32" name="Check Box 29">
              <controlPr defaultSize="0" autoFill="0" autoLine="0" autoPict="0">
                <anchor moveWithCells="1">
                  <from>
                    <xdr:col>4</xdr:col>
                    <xdr:colOff>962025</xdr:colOff>
                    <xdr:row>55</xdr:row>
                    <xdr:rowOff>142875</xdr:rowOff>
                  </from>
                  <to>
                    <xdr:col>4</xdr:col>
                    <xdr:colOff>1171575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4" r:id="rId33" name="Check Box 30">
              <controlPr defaultSize="0" autoFill="0" autoLine="0" autoPict="0">
                <anchor moveWithCells="1">
                  <from>
                    <xdr:col>0</xdr:col>
                    <xdr:colOff>962025</xdr:colOff>
                    <xdr:row>49</xdr:row>
                    <xdr:rowOff>142875</xdr:rowOff>
                  </from>
                  <to>
                    <xdr:col>0</xdr:col>
                    <xdr:colOff>1171575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5" r:id="rId34" name="Check Box 31">
              <controlPr defaultSize="0" autoFill="0" autoLine="0" autoPict="0">
                <anchor moveWithCells="1">
                  <from>
                    <xdr:col>0</xdr:col>
                    <xdr:colOff>981075</xdr:colOff>
                    <xdr:row>48</xdr:row>
                    <xdr:rowOff>180975</xdr:rowOff>
                  </from>
                  <to>
                    <xdr:col>0</xdr:col>
                    <xdr:colOff>1190625</xdr:colOff>
                    <xdr:row>50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6" r:id="rId35" name="Check Box 32">
              <controlPr defaultSize="0" autoFill="0" autoLine="0" autoPict="0">
                <anchor moveWithCells="1">
                  <from>
                    <xdr:col>0</xdr:col>
                    <xdr:colOff>962025</xdr:colOff>
                    <xdr:row>49</xdr:row>
                    <xdr:rowOff>142875</xdr:rowOff>
                  </from>
                  <to>
                    <xdr:col>0</xdr:col>
                    <xdr:colOff>1171575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7" r:id="rId36" name="Check Box 33">
              <controlPr defaultSize="0" autoFill="0" autoLine="0" autoPict="0">
                <anchor moveWithCells="1">
                  <from>
                    <xdr:col>0</xdr:col>
                    <xdr:colOff>981075</xdr:colOff>
                    <xdr:row>48</xdr:row>
                    <xdr:rowOff>180975</xdr:rowOff>
                  </from>
                  <to>
                    <xdr:col>0</xdr:col>
                    <xdr:colOff>1190625</xdr:colOff>
                    <xdr:row>50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8" r:id="rId37" name="Check Box 34">
              <controlPr defaultSize="0" autoFill="0" autoLine="0" autoPict="0">
                <anchor moveWithCells="1">
                  <from>
                    <xdr:col>0</xdr:col>
                    <xdr:colOff>962025</xdr:colOff>
                    <xdr:row>51</xdr:row>
                    <xdr:rowOff>390525</xdr:rowOff>
                  </from>
                  <to>
                    <xdr:col>0</xdr:col>
                    <xdr:colOff>1171575</xdr:colOff>
                    <xdr:row>53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9" r:id="rId38" name="Check Box 35">
              <controlPr defaultSize="0" autoFill="0" autoLine="0" autoPict="0">
                <anchor moveWithCells="1">
                  <from>
                    <xdr:col>4</xdr:col>
                    <xdr:colOff>962025</xdr:colOff>
                    <xdr:row>54</xdr:row>
                    <xdr:rowOff>361950</xdr:rowOff>
                  </from>
                  <to>
                    <xdr:col>4</xdr:col>
                    <xdr:colOff>1171575</xdr:colOff>
                    <xdr:row>56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0" r:id="rId39" name="Check Box 36">
              <controlPr defaultSize="0" autoFill="0" autoLine="0" autoPict="0">
                <anchor moveWithCells="1">
                  <from>
                    <xdr:col>4</xdr:col>
                    <xdr:colOff>628650</xdr:colOff>
                    <xdr:row>65</xdr:row>
                    <xdr:rowOff>28575</xdr:rowOff>
                  </from>
                  <to>
                    <xdr:col>4</xdr:col>
                    <xdr:colOff>838200</xdr:colOff>
                    <xdr:row>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1" r:id="rId40" name="Check Box 37">
              <controlPr defaultSize="0" autoFill="0" autoLine="0" autoPict="0">
                <anchor moveWithCells="1">
                  <from>
                    <xdr:col>4</xdr:col>
                    <xdr:colOff>647700</xdr:colOff>
                    <xdr:row>66</xdr:row>
                    <xdr:rowOff>85725</xdr:rowOff>
                  </from>
                  <to>
                    <xdr:col>4</xdr:col>
                    <xdr:colOff>981075</xdr:colOff>
                    <xdr:row>67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2" r:id="rId41" name="Check Box 38">
              <controlPr defaultSize="0" autoFill="0" autoLine="0" autoPict="0">
                <anchor moveWithCells="1">
                  <from>
                    <xdr:col>6</xdr:col>
                    <xdr:colOff>333375</xdr:colOff>
                    <xdr:row>64</xdr:row>
                    <xdr:rowOff>142875</xdr:rowOff>
                  </from>
                  <to>
                    <xdr:col>6</xdr:col>
                    <xdr:colOff>657225</xdr:colOff>
                    <xdr:row>67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3" r:id="rId42" name="Check Box 39">
              <controlPr defaultSize="0" autoFill="0" autoLine="0" autoPict="0">
                <anchor moveWithCells="1">
                  <from>
                    <xdr:col>6</xdr:col>
                    <xdr:colOff>333375</xdr:colOff>
                    <xdr:row>66</xdr:row>
                    <xdr:rowOff>95250</xdr:rowOff>
                  </from>
                  <to>
                    <xdr:col>6</xdr:col>
                    <xdr:colOff>666750</xdr:colOff>
                    <xdr:row>67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4" r:id="rId43" name="Check Box 40">
              <controlPr defaultSize="0" autoFill="0" autoLine="0" autoPict="0">
                <anchor moveWithCells="1">
                  <from>
                    <xdr:col>0</xdr:col>
                    <xdr:colOff>952500</xdr:colOff>
                    <xdr:row>63</xdr:row>
                    <xdr:rowOff>142875</xdr:rowOff>
                  </from>
                  <to>
                    <xdr:col>0</xdr:col>
                    <xdr:colOff>1162050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5" r:id="rId44" name="Check Box 41">
              <controlPr defaultSize="0" autoFill="0" autoLine="0" autoPict="0">
                <anchor moveWithCells="1">
                  <from>
                    <xdr:col>0</xdr:col>
                    <xdr:colOff>962025</xdr:colOff>
                    <xdr:row>64</xdr:row>
                    <xdr:rowOff>142875</xdr:rowOff>
                  </from>
                  <to>
                    <xdr:col>0</xdr:col>
                    <xdr:colOff>1171575</xdr:colOff>
                    <xdr:row>66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8DC3-481B-4DE1-A7A7-6F7A7F146A2A}">
  <sheetPr>
    <tabColor rgb="FFFFFF00"/>
    <pageSetUpPr fitToPage="1"/>
  </sheetPr>
  <dimension ref="A1:AH70"/>
  <sheetViews>
    <sheetView tabSelected="1" zoomScaleNormal="100" workbookViewId="0">
      <pane xSplit="1" ySplit="2" topLeftCell="B3" activePane="bottomRight" state="frozenSplit"/>
      <selection pane="bottomRight" activeCell="G7" sqref="G7:H8"/>
      <selection pane="bottomLeft" activeCell="A3" sqref="A3"/>
      <selection pane="topRight" activeCell="B1" sqref="B1"/>
    </sheetView>
  </sheetViews>
  <sheetFormatPr defaultColWidth="10" defaultRowHeight="15.75"/>
  <cols>
    <col min="1" max="1" width="34.85546875" style="2" customWidth="1"/>
    <col min="2" max="7" width="26.42578125" style="2" customWidth="1"/>
    <col min="8" max="8" width="26.7109375" style="2" customWidth="1"/>
    <col min="9" max="9" width="25.28515625" style="2" customWidth="1"/>
    <col min="10" max="10" width="34.140625" style="2" customWidth="1"/>
    <col min="11" max="11" width="19.28515625" style="2" bestFit="1" customWidth="1"/>
    <col min="12" max="12" width="18.5703125" style="2" customWidth="1"/>
    <col min="13" max="13" width="39.28515625" style="2" customWidth="1"/>
    <col min="14" max="16" width="10" style="2"/>
    <col min="17" max="17" width="19.7109375" style="2" customWidth="1"/>
    <col min="18" max="18" width="10" style="2"/>
    <col min="19" max="19" width="95.28515625" style="2" customWidth="1"/>
    <col min="20" max="20" width="10" style="2"/>
    <col min="21" max="21" width="52.140625" style="2" bestFit="1" customWidth="1"/>
    <col min="22" max="25" width="10" style="2"/>
    <col min="26" max="34" width="27.7109375" style="2" customWidth="1"/>
    <col min="35" max="16384" width="10" style="2"/>
  </cols>
  <sheetData>
    <row r="1" spans="1:34" ht="36" customHeight="1" thickBot="1">
      <c r="A1" s="462" t="s">
        <v>135</v>
      </c>
      <c r="B1" s="481" t="s">
        <v>136</v>
      </c>
      <c r="C1" s="462" t="s">
        <v>137</v>
      </c>
      <c r="D1" s="563" t="s">
        <v>138</v>
      </c>
      <c r="E1" s="564"/>
      <c r="F1" s="462" t="s">
        <v>139</v>
      </c>
      <c r="G1" s="484" t="s">
        <v>140</v>
      </c>
      <c r="H1" s="485">
        <f>+H48</f>
        <v>43837.679999999993</v>
      </c>
      <c r="I1" s="484" t="s">
        <v>141</v>
      </c>
      <c r="J1" s="485">
        <f>PJ_Estimate</f>
        <v>47600</v>
      </c>
    </row>
    <row r="2" spans="1:34" ht="36" customHeight="1" thickTop="1" thickBot="1">
      <c r="A2" s="462" t="s">
        <v>142</v>
      </c>
      <c r="B2" s="482">
        <v>46141</v>
      </c>
      <c r="C2" s="463" t="s">
        <v>143</v>
      </c>
      <c r="D2" s="569" t="s">
        <v>12</v>
      </c>
      <c r="E2" s="570"/>
      <c r="F2" s="483" t="s">
        <v>144</v>
      </c>
      <c r="G2" s="486" t="s">
        <v>145</v>
      </c>
      <c r="H2" s="487">
        <f>+I48</f>
        <v>89.906847966529241</v>
      </c>
      <c r="I2" s="486" t="s">
        <v>145</v>
      </c>
      <c r="J2" s="487">
        <f>+I47</f>
        <v>97.62</v>
      </c>
    </row>
    <row r="3" spans="1:34" ht="26.25" thickTop="1">
      <c r="A3" s="421" t="s">
        <v>146</v>
      </c>
      <c r="B3" s="421" t="s">
        <v>147</v>
      </c>
      <c r="C3" s="421" t="s">
        <v>148</v>
      </c>
      <c r="D3" s="421" t="s">
        <v>149</v>
      </c>
      <c r="E3" s="575" t="s">
        <v>150</v>
      </c>
      <c r="F3" s="575"/>
      <c r="G3" s="468" t="s">
        <v>151</v>
      </c>
      <c r="H3" s="390" t="s">
        <v>77</v>
      </c>
      <c r="I3" s="574" t="s">
        <v>152</v>
      </c>
      <c r="J3" s="574"/>
      <c r="M3" s="567" t="s">
        <v>153</v>
      </c>
      <c r="N3" s="568"/>
      <c r="O3" s="568"/>
      <c r="P3" s="568"/>
      <c r="Q3" s="568"/>
      <c r="R3" s="568"/>
      <c r="S3" s="568"/>
      <c r="Z3" s="469" t="s">
        <v>139</v>
      </c>
      <c r="AA3" s="469" t="s">
        <v>146</v>
      </c>
      <c r="AB3" s="469" t="s">
        <v>147</v>
      </c>
      <c r="AC3" s="469" t="s">
        <v>154</v>
      </c>
      <c r="AD3" s="469" t="s">
        <v>155</v>
      </c>
      <c r="AE3" s="469" t="s">
        <v>156</v>
      </c>
      <c r="AF3" s="469" t="s">
        <v>157</v>
      </c>
      <c r="AG3" s="469" t="s">
        <v>158</v>
      </c>
      <c r="AH3" s="469" t="s">
        <v>159</v>
      </c>
    </row>
    <row r="4" spans="1:34" ht="26.45" customHeight="1">
      <c r="A4" s="488" t="str">
        <f>_xlfn.XLOOKUP(F$2,Team_list,Captain)</f>
        <v>Bil Shams</v>
      </c>
      <c r="B4" s="488" t="s">
        <v>160</v>
      </c>
      <c r="C4" s="489" t="str">
        <f>_xlfn.XLOOKUP(F$2,Team_list,Bid_Clerk)</f>
        <v>Mark Tan</v>
      </c>
      <c r="D4" s="490">
        <v>0.25</v>
      </c>
      <c r="E4" s="381" t="s">
        <v>161</v>
      </c>
      <c r="F4" s="491">
        <v>8</v>
      </c>
      <c r="G4" s="468" t="s">
        <v>162</v>
      </c>
      <c r="H4" s="559" t="s">
        <v>163</v>
      </c>
      <c r="I4" s="381" t="s">
        <v>152</v>
      </c>
      <c r="J4" s="557" t="s">
        <v>77</v>
      </c>
      <c r="M4" s="494" t="s">
        <v>164</v>
      </c>
      <c r="N4" s="494" t="s">
        <v>165</v>
      </c>
      <c r="O4" s="494" t="s">
        <v>166</v>
      </c>
      <c r="P4" s="494" t="s">
        <v>167</v>
      </c>
      <c r="Q4" s="494" t="s">
        <v>168</v>
      </c>
      <c r="R4" s="495" t="s">
        <v>169</v>
      </c>
      <c r="S4" s="496" t="s">
        <v>170</v>
      </c>
      <c r="Z4" s="511" t="s">
        <v>163</v>
      </c>
      <c r="AA4" s="512" t="s">
        <v>163</v>
      </c>
      <c r="AB4" s="512" t="s">
        <v>163</v>
      </c>
      <c r="AC4" s="512" t="s">
        <v>163</v>
      </c>
      <c r="AD4" s="513" t="s">
        <v>163</v>
      </c>
      <c r="AE4" s="513" t="s">
        <v>163</v>
      </c>
      <c r="AF4" s="512" t="s">
        <v>163</v>
      </c>
      <c r="AG4" s="512" t="s">
        <v>163</v>
      </c>
      <c r="AH4" s="513" t="s">
        <v>163</v>
      </c>
    </row>
    <row r="5" spans="1:34" ht="26.45" customHeight="1">
      <c r="A5" s="381" t="s">
        <v>171</v>
      </c>
      <c r="B5" s="464" t="s">
        <v>172</v>
      </c>
      <c r="C5" s="579" t="s">
        <v>173</v>
      </c>
      <c r="D5" s="582" t="s">
        <v>174</v>
      </c>
      <c r="E5" s="381" t="s">
        <v>175</v>
      </c>
      <c r="F5" s="491">
        <v>5</v>
      </c>
      <c r="G5" s="468" t="s">
        <v>176</v>
      </c>
      <c r="H5" s="559" t="s">
        <v>163</v>
      </c>
      <c r="I5" s="381" t="s">
        <v>177</v>
      </c>
      <c r="J5" s="524">
        <v>1</v>
      </c>
      <c r="M5" s="497" t="s">
        <v>178</v>
      </c>
      <c r="N5" s="498">
        <v>30</v>
      </c>
      <c r="O5" s="498">
        <v>7.29</v>
      </c>
      <c r="P5" s="499">
        <f>+N5+O5</f>
        <v>37.29</v>
      </c>
      <c r="Q5" s="500">
        <v>46084</v>
      </c>
      <c r="R5" s="501" t="s">
        <v>77</v>
      </c>
      <c r="S5" s="502" t="str">
        <f>IF(M5="","",CONCATENATE(M5," - W: ($",N5," + F: $",O5,") = Total of $",P5))</f>
        <v>NON-SCALE - W: ($30 + F: $7.29) = Total of $37.29</v>
      </c>
      <c r="Z5" s="514" t="s">
        <v>179</v>
      </c>
      <c r="AA5" s="515" t="s">
        <v>179</v>
      </c>
      <c r="AB5" s="515" t="s">
        <v>180</v>
      </c>
      <c r="AC5" s="516" t="s">
        <v>181</v>
      </c>
      <c r="AD5" s="517"/>
      <c r="AE5" s="516" t="s">
        <v>182</v>
      </c>
      <c r="AF5" s="515" t="s">
        <v>183</v>
      </c>
      <c r="AG5" s="515" t="s">
        <v>184</v>
      </c>
      <c r="AH5" s="516" t="s">
        <v>185</v>
      </c>
    </row>
    <row r="6" spans="1:34" ht="26.45" customHeight="1">
      <c r="A6" s="421"/>
      <c r="B6" s="421"/>
      <c r="C6" s="580"/>
      <c r="D6" s="583"/>
      <c r="E6" s="381" t="s">
        <v>186</v>
      </c>
      <c r="F6" s="550">
        <f>+F4*F5</f>
        <v>40</v>
      </c>
      <c r="G6" s="574" t="s">
        <v>187</v>
      </c>
      <c r="H6" s="574"/>
      <c r="I6" s="381" t="s">
        <v>188</v>
      </c>
      <c r="J6" s="556">
        <v>550</v>
      </c>
      <c r="L6" s="2" t="s">
        <v>189</v>
      </c>
      <c r="M6" s="503" t="s">
        <v>190</v>
      </c>
      <c r="N6" s="498">
        <v>40.770000000000003</v>
      </c>
      <c r="O6" s="498">
        <v>20.170000000000002</v>
      </c>
      <c r="P6" s="499">
        <f>+N6+O6</f>
        <v>60.940000000000005</v>
      </c>
      <c r="Q6" s="504">
        <v>46074</v>
      </c>
      <c r="R6" s="505" t="s">
        <v>92</v>
      </c>
      <c r="S6" s="502" t="str">
        <f>IF(M6="","",CONCATENATE(M6," - W: ($",N6," + F: $",O6,") = Total of $",P6))</f>
        <v>2026 - DC/Federal in DC/CITIZEN - W: ($40.77 + F: $20.17) = Total of $60.94</v>
      </c>
      <c r="Z6" s="514" t="s">
        <v>144</v>
      </c>
      <c r="AA6" s="515" t="s">
        <v>144</v>
      </c>
      <c r="AB6" s="515" t="s">
        <v>191</v>
      </c>
      <c r="AC6" s="515" t="s">
        <v>192</v>
      </c>
      <c r="AD6" s="515" t="s">
        <v>193</v>
      </c>
      <c r="AE6" s="516" t="s">
        <v>194</v>
      </c>
      <c r="AF6" s="515" t="s">
        <v>195</v>
      </c>
      <c r="AG6" s="515" t="s">
        <v>196</v>
      </c>
      <c r="AH6" s="516" t="s">
        <v>197</v>
      </c>
    </row>
    <row r="7" spans="1:34" ht="26.45" customHeight="1">
      <c r="A7" s="421"/>
      <c r="B7" s="421"/>
      <c r="C7" s="581"/>
      <c r="D7" s="584"/>
      <c r="E7" s="381" t="s">
        <v>198</v>
      </c>
      <c r="F7" s="492"/>
      <c r="G7" s="381" t="s">
        <v>199</v>
      </c>
      <c r="H7" s="560">
        <f>ROUND(+J19/B12/(1950/12),2)</f>
        <v>1.5</v>
      </c>
      <c r="I7" s="381" t="s">
        <v>200</v>
      </c>
      <c r="J7" s="558">
        <f>+Lift_percentage*Lift_cost*Project_Months*(4.4/4)*Average_no_people</f>
        <v>1815</v>
      </c>
      <c r="L7" s="2" t="s">
        <v>189</v>
      </c>
      <c r="M7" s="503" t="s">
        <v>201</v>
      </c>
      <c r="N7" s="498">
        <v>40.770000000000003</v>
      </c>
      <c r="O7" s="498">
        <v>20.420000000000002</v>
      </c>
      <c r="P7" s="499">
        <f>+N7+O7</f>
        <v>61.190000000000005</v>
      </c>
      <c r="Q7" s="504">
        <v>46074</v>
      </c>
      <c r="R7" s="505" t="s">
        <v>92</v>
      </c>
      <c r="S7" s="502" t="str">
        <f t="shared" ref="S7:S19" si="0">IF(M7="","",CONCATENATE(M7," - W: ($",N7," + F: $",O7,") = Total of $",P7))</f>
        <v>2026 - Maryland/Federal - W: ($40.77 + F: $20.42) = Total of $61.19</v>
      </c>
      <c r="Z7" s="514" t="s">
        <v>202</v>
      </c>
      <c r="AA7" s="515" t="s">
        <v>203</v>
      </c>
      <c r="AB7" s="515" t="s">
        <v>204</v>
      </c>
      <c r="AC7" s="515" t="s">
        <v>205</v>
      </c>
      <c r="AD7" s="515" t="s">
        <v>206</v>
      </c>
      <c r="AE7" s="515" t="s">
        <v>207</v>
      </c>
      <c r="AF7" s="518"/>
      <c r="AG7" s="515" t="s">
        <v>208</v>
      </c>
      <c r="AH7" s="515" t="s">
        <v>209</v>
      </c>
    </row>
    <row r="8" spans="1:34" ht="26.45" customHeight="1">
      <c r="A8" s="3" t="s">
        <v>210</v>
      </c>
      <c r="B8" s="576" t="s">
        <v>211</v>
      </c>
      <c r="C8" s="576"/>
      <c r="D8" s="576"/>
      <c r="E8" s="381" t="s">
        <v>212</v>
      </c>
      <c r="F8" s="493" t="s">
        <v>77</v>
      </c>
      <c r="G8" s="381" t="s">
        <v>213</v>
      </c>
      <c r="H8" s="561">
        <f>ROUND(+B12*1950/12*H7,0)</f>
        <v>488</v>
      </c>
      <c r="I8" s="574" t="s">
        <v>214</v>
      </c>
      <c r="J8" s="574"/>
      <c r="L8" s="2" t="s">
        <v>189</v>
      </c>
      <c r="M8" s="503" t="s">
        <v>215</v>
      </c>
      <c r="N8" s="498">
        <v>39.270000000000003</v>
      </c>
      <c r="O8" s="498">
        <v>18.670000000000002</v>
      </c>
      <c r="P8" s="499">
        <f>+N8+O8</f>
        <v>57.940000000000005</v>
      </c>
      <c r="Q8" s="504">
        <v>46074</v>
      </c>
      <c r="R8" s="505" t="s">
        <v>92</v>
      </c>
      <c r="S8" s="502" t="str">
        <f t="shared" si="0"/>
        <v>2026 - Virginia - W: ($39.27 + F: $18.67) = Total of $57.94</v>
      </c>
    </row>
    <row r="9" spans="1:34" ht="26.45" customHeight="1">
      <c r="A9" s="565"/>
      <c r="B9" s="565"/>
      <c r="C9" s="565"/>
      <c r="D9" s="566"/>
      <c r="E9" s="381" t="s">
        <v>216</v>
      </c>
      <c r="F9" s="519">
        <f>_xlfn.XLOOKUP(Project_Wage_Rate,Wage_Rate_List,Wage_Rate)</f>
        <v>30</v>
      </c>
      <c r="G9" s="574" t="s">
        <v>217</v>
      </c>
      <c r="H9" s="574"/>
      <c r="I9" s="381" t="s">
        <v>214</v>
      </c>
      <c r="J9" s="557" t="s">
        <v>92</v>
      </c>
      <c r="L9" s="2" t="s">
        <v>189</v>
      </c>
      <c r="M9" s="503" t="s">
        <v>218</v>
      </c>
      <c r="N9" s="498">
        <v>39.270000000000003</v>
      </c>
      <c r="O9" s="498">
        <v>19.420000000000002</v>
      </c>
      <c r="P9" s="499">
        <f>+N9+O9</f>
        <v>58.690000000000005</v>
      </c>
      <c r="Q9" s="504">
        <v>46074</v>
      </c>
      <c r="R9" s="505" t="s">
        <v>92</v>
      </c>
      <c r="S9" s="502" t="str">
        <f t="shared" si="0"/>
        <v>2024 - MD Prevail - W: ($39.27 + F: $19.42) = Total of $58.69</v>
      </c>
    </row>
    <row r="10" spans="1:34" ht="26.45" customHeight="1">
      <c r="A10" s="406" t="s">
        <v>219</v>
      </c>
      <c r="B10" s="521">
        <f>EDATE(B2,B13)</f>
        <v>46324</v>
      </c>
      <c r="C10" s="381" t="s">
        <v>220</v>
      </c>
      <c r="D10" s="562">
        <f>+labor_rate</f>
        <v>51.7</v>
      </c>
      <c r="E10" s="381" t="s">
        <v>221</v>
      </c>
      <c r="F10" s="519">
        <f>_xlfn.XLOOKUP(Project_Wage_Rate,Wage_Rate_List,Wage_Rate_Fringe)</f>
        <v>7.29</v>
      </c>
      <c r="G10" s="381" t="s">
        <v>222</v>
      </c>
      <c r="H10" s="524">
        <v>0.04</v>
      </c>
      <c r="I10" s="381" t="s">
        <v>223</v>
      </c>
      <c r="J10" s="524">
        <v>1</v>
      </c>
      <c r="L10" s="2" t="s">
        <v>189</v>
      </c>
      <c r="M10" s="506">
        <v>2024</v>
      </c>
      <c r="N10" s="507">
        <v>40.020000000000003</v>
      </c>
      <c r="O10" s="507">
        <v>19.670000000000002</v>
      </c>
      <c r="P10" s="508">
        <f>+P11+0.75</f>
        <v>60.190000000000005</v>
      </c>
      <c r="Q10" s="509">
        <v>45931</v>
      </c>
      <c r="R10" s="505" t="s">
        <v>92</v>
      </c>
      <c r="S10" s="502" t="str">
        <f t="shared" si="0"/>
        <v>2024 - W: ($40.02 + F: $19.67) = Total of $60.19</v>
      </c>
    </row>
    <row r="11" spans="1:34" ht="26.45" customHeight="1">
      <c r="A11" s="406" t="s">
        <v>224</v>
      </c>
      <c r="B11" s="522">
        <f>EDATE(B10,B12-1)</f>
        <v>46355</v>
      </c>
      <c r="C11" s="381" t="s">
        <v>225</v>
      </c>
      <c r="D11" s="552">
        <f>IF(Parking="Yes",Parking_cost/Hours_per_day,0)</f>
        <v>3.125</v>
      </c>
      <c r="E11" s="381" t="s">
        <v>226</v>
      </c>
      <c r="F11" s="519">
        <f>+F9+F10</f>
        <v>37.29</v>
      </c>
      <c r="G11" s="381" t="s">
        <v>227</v>
      </c>
      <c r="H11" s="525">
        <f>(YEAR(B11)-YEAR(B2))*H10</f>
        <v>0</v>
      </c>
      <c r="I11" s="381" t="s">
        <v>228</v>
      </c>
      <c r="J11" s="551">
        <v>25</v>
      </c>
      <c r="L11" s="2" t="s">
        <v>189</v>
      </c>
      <c r="M11" s="506">
        <v>2024</v>
      </c>
      <c r="N11" s="507">
        <v>40.020000000000003</v>
      </c>
      <c r="O11" s="507">
        <v>19.670000000000002</v>
      </c>
      <c r="P11" s="508">
        <f>+P12+0.75</f>
        <v>59.440000000000005</v>
      </c>
      <c r="Q11" s="509">
        <v>45931</v>
      </c>
      <c r="R11" s="505" t="s">
        <v>92</v>
      </c>
      <c r="S11" s="502" t="str">
        <f t="shared" si="0"/>
        <v>2024 - W: ($40.02 + F: $19.67) = Total of $59.44</v>
      </c>
    </row>
    <row r="12" spans="1:34" ht="26.45" customHeight="1">
      <c r="A12" s="381" t="s">
        <v>229</v>
      </c>
      <c r="B12" s="520">
        <v>2</v>
      </c>
      <c r="C12" s="381" t="s">
        <v>230</v>
      </c>
      <c r="D12" s="552">
        <f>IF(Lifts_Needed="Yes",IFERROR(Total_Lift/Total_Hours,0),0)</f>
        <v>0</v>
      </c>
      <c r="E12" s="381" t="s">
        <v>231</v>
      </c>
      <c r="F12" s="493" t="s">
        <v>77</v>
      </c>
      <c r="G12" s="381" t="s">
        <v>232</v>
      </c>
      <c r="H12" s="554" t="s">
        <v>92</v>
      </c>
      <c r="I12" s="421"/>
      <c r="J12" s="421"/>
      <c r="L12" s="2" t="s">
        <v>189</v>
      </c>
      <c r="M12" s="506">
        <v>2023</v>
      </c>
      <c r="N12" s="507">
        <v>40.020000000000003</v>
      </c>
      <c r="O12" s="507">
        <v>19.670000000000002</v>
      </c>
      <c r="P12" s="508">
        <f>+P13+0.75</f>
        <v>58.690000000000005</v>
      </c>
      <c r="Q12" s="509">
        <v>45931</v>
      </c>
      <c r="R12" s="505" t="s">
        <v>92</v>
      </c>
      <c r="S12" s="502" t="str">
        <f t="shared" si="0"/>
        <v>2023 - W: ($40.02 + F: $19.67) = Total of $58.69</v>
      </c>
    </row>
    <row r="13" spans="1:34" ht="26.45" customHeight="1">
      <c r="A13" s="381" t="s">
        <v>233</v>
      </c>
      <c r="B13" s="520">
        <v>6</v>
      </c>
      <c r="C13" s="465" t="s">
        <v>234</v>
      </c>
      <c r="D13" s="552">
        <f>+D10+D11+D12</f>
        <v>54.825000000000003</v>
      </c>
      <c r="E13" s="465" t="s">
        <v>235</v>
      </c>
      <c r="F13" s="523" t="s">
        <v>92</v>
      </c>
      <c r="G13" s="465" t="s">
        <v>236</v>
      </c>
      <c r="H13" s="553">
        <f>_xlfn.XLOOKUP(Project_State,Rate_State,Sales_Tax_by_state)</f>
        <v>0.06</v>
      </c>
      <c r="I13" s="421"/>
      <c r="J13" s="421"/>
      <c r="L13" s="2" t="s">
        <v>189</v>
      </c>
      <c r="M13" s="506">
        <v>2021</v>
      </c>
      <c r="N13" s="510">
        <v>39.270000000000003</v>
      </c>
      <c r="O13" s="510">
        <v>18.670000000000002</v>
      </c>
      <c r="P13" s="508">
        <f>+N13+O13</f>
        <v>57.940000000000005</v>
      </c>
      <c r="Q13" s="509">
        <v>45200</v>
      </c>
      <c r="R13" s="505" t="s">
        <v>92</v>
      </c>
      <c r="S13" s="502" t="str">
        <f t="shared" si="0"/>
        <v>2021 - W: ($39.27 + F: $18.67) = Total of $57.94</v>
      </c>
    </row>
    <row r="14" spans="1:34" ht="37.9" customHeight="1">
      <c r="A14" s="585" t="s">
        <v>237</v>
      </c>
      <c r="B14" s="585"/>
      <c r="C14" s="585"/>
      <c r="D14" s="585"/>
      <c r="E14" s="585"/>
      <c r="F14" s="585"/>
      <c r="G14" s="585"/>
      <c r="H14" s="585"/>
      <c r="I14" s="585"/>
      <c r="J14" s="586"/>
      <c r="L14" s="2" t="s">
        <v>189</v>
      </c>
      <c r="M14" s="506">
        <v>2019</v>
      </c>
      <c r="N14" s="510">
        <v>38.01</v>
      </c>
      <c r="O14" s="510">
        <v>17.62</v>
      </c>
      <c r="P14" s="508">
        <f>+N14+O14</f>
        <v>55.629999999999995</v>
      </c>
      <c r="Q14" s="509">
        <v>44287</v>
      </c>
      <c r="R14" s="505" t="s">
        <v>92</v>
      </c>
      <c r="S14" s="502" t="str">
        <f>IF(M14="","",CONCATENATE(M14," - W: ($",N14," + F: $",O14,") = Total of $",P14))</f>
        <v>2019 - W: ($38.01 + F: $17.62) = Total of $55.63</v>
      </c>
    </row>
    <row r="15" spans="1:34" ht="48" customHeight="1">
      <c r="A15" s="3" t="s">
        <v>238</v>
      </c>
      <c r="B15" s="470" t="s">
        <v>154</v>
      </c>
      <c r="C15" s="470" t="s">
        <v>155</v>
      </c>
      <c r="D15" s="471" t="s">
        <v>156</v>
      </c>
      <c r="E15" s="471" t="s">
        <v>157</v>
      </c>
      <c r="F15" s="472" t="s">
        <v>158</v>
      </c>
      <c r="G15" s="472" t="s">
        <v>159</v>
      </c>
      <c r="H15" s="466" t="s">
        <v>239</v>
      </c>
      <c r="I15" s="467" t="s">
        <v>240</v>
      </c>
      <c r="J15" s="1" t="s">
        <v>241</v>
      </c>
      <c r="L15" s="2" t="s">
        <v>189</v>
      </c>
      <c r="M15" s="506">
        <v>2017</v>
      </c>
      <c r="N15" s="510">
        <v>35.130000000000003</v>
      </c>
      <c r="O15" s="510">
        <v>16.22</v>
      </c>
      <c r="P15" s="508">
        <f>+N15+O15</f>
        <v>51.35</v>
      </c>
      <c r="Q15" s="509">
        <v>43556</v>
      </c>
      <c r="R15" s="505" t="s">
        <v>92</v>
      </c>
      <c r="S15" s="502" t="str">
        <f>IF(M15="","",CONCATENATE(M15," - W: ($",N15," + F: $",O15,") = Total of $",P15))</f>
        <v>2017 - W: ($35.13 + F: $16.22) = Total of $51.35</v>
      </c>
    </row>
    <row r="16" spans="1:34" ht="34.9" customHeight="1">
      <c r="A16" s="3" t="s">
        <v>242</v>
      </c>
      <c r="B16" s="392" t="str">
        <f>IFERROR(_xlfn.XLOOKUP($F$2,Team_list,Duct_1),"")</f>
        <v>Marc Maniago</v>
      </c>
      <c r="C16" s="392" t="str">
        <f>IFERROR(_xlfn.XLOOKUP($F$2,Team_list,Duct_2),"")</f>
        <v>Oliver Crucero</v>
      </c>
      <c r="D16" s="389" t="str">
        <f>IFERROR(_xlfn.XLOOKUP(F$2,Team_list,Hydronic_1),"")</f>
        <v>Maristella Malamug</v>
      </c>
      <c r="E16" s="389" t="str">
        <f>IFERROR(_xlfn.XLOOKUP(F$2,Team_list,Hydronic_2),"")</f>
        <v>Kevin Strauss</v>
      </c>
      <c r="F16" s="4" t="str">
        <f>IFERROR(_xlfn.XLOOKUP(F$2,Team_list,Plumbing_1),"")</f>
        <v>Ralph Resare</v>
      </c>
      <c r="G16" s="4" t="str">
        <f>IFERROR(_xlfn.XLOOKUP(F$2,Team_list,Plumbing_2),"")</f>
        <v>Hugh Belangel</v>
      </c>
      <c r="H16" s="5"/>
      <c r="I16" s="5"/>
      <c r="J16" s="5"/>
      <c r="L16" s="2" t="s">
        <v>189</v>
      </c>
      <c r="M16" s="506">
        <v>2015</v>
      </c>
      <c r="N16" s="510">
        <v>35.03</v>
      </c>
      <c r="O16" s="510">
        <v>15.32</v>
      </c>
      <c r="P16" s="508">
        <f>+N16+O16</f>
        <v>50.35</v>
      </c>
      <c r="Q16" s="509">
        <v>42826</v>
      </c>
      <c r="R16" s="505" t="s">
        <v>92</v>
      </c>
      <c r="S16" s="502" t="str">
        <f>IF(M16="","",CONCATENATE(M16," - W: ($",N16," + F: $",O16,") = Total of $",P16))</f>
        <v>2015 - W: ($35.03 + F: $15.32) = Total of $50.35</v>
      </c>
    </row>
    <row r="17" spans="1:19" ht="34.9" customHeight="1">
      <c r="A17" s="3" t="s">
        <v>243</v>
      </c>
      <c r="B17" s="387">
        <v>7969.02</v>
      </c>
      <c r="C17" s="387"/>
      <c r="D17" s="387">
        <v>7969.04</v>
      </c>
      <c r="E17" s="387"/>
      <c r="F17" s="387"/>
      <c r="G17" s="387"/>
      <c r="H17" s="5"/>
      <c r="I17" s="5"/>
      <c r="J17" s="5"/>
      <c r="L17" s="2" t="s">
        <v>189</v>
      </c>
      <c r="M17" s="506">
        <v>2013</v>
      </c>
      <c r="N17" s="510">
        <v>33.130000000000003</v>
      </c>
      <c r="O17" s="510">
        <v>13.6</v>
      </c>
      <c r="P17" s="508">
        <f>+N17+O17</f>
        <v>46.730000000000004</v>
      </c>
      <c r="Q17" s="509">
        <v>42095</v>
      </c>
      <c r="R17" s="505" t="s">
        <v>92</v>
      </c>
      <c r="S17" s="502" t="str">
        <f>IF(M17="","",CONCATENATE(M17," - W: ($",N17," + F: $",O17,") = Total of $",P17))</f>
        <v>2013 - W: ($33.13 + F: $13.6) = Total of $46.73</v>
      </c>
    </row>
    <row r="18" spans="1:19" ht="34.9" customHeight="1">
      <c r="A18" s="477" t="s">
        <v>244</v>
      </c>
      <c r="B18" s="388">
        <v>3268.95</v>
      </c>
      <c r="C18" s="388"/>
      <c r="D18" s="388">
        <v>5187.54</v>
      </c>
      <c r="E18" s="387"/>
      <c r="F18" s="387"/>
      <c r="G18" s="388"/>
      <c r="H18" s="396"/>
      <c r="I18" s="396"/>
      <c r="J18" s="476">
        <f>IF(B$23="yes",B18,C18)+IF(D$23="yes",D18,E18)+IF(F$23="yes",F18,G18)+H18+I18</f>
        <v>8456.49</v>
      </c>
      <c r="M18" s="17"/>
      <c r="N18" s="17"/>
      <c r="O18" s="17"/>
      <c r="P18" s="17"/>
      <c r="Q18" s="17"/>
      <c r="R18" s="17"/>
      <c r="S18" s="17" t="str">
        <f>IF(M18="","",CONCATENATE(M18," - W: ($",N18," + F: $",O18,") = Total of $",P18))</f>
        <v/>
      </c>
    </row>
    <row r="19" spans="1:19" ht="31.5" customHeight="1">
      <c r="A19" s="480" t="s">
        <v>245</v>
      </c>
      <c r="B19" s="555">
        <v>228.52</v>
      </c>
      <c r="C19" s="428"/>
      <c r="D19" s="555">
        <v>259.07</v>
      </c>
      <c r="E19" s="428"/>
      <c r="F19" s="428"/>
      <c r="G19" s="428"/>
      <c r="H19" s="396"/>
      <c r="I19" s="396"/>
      <c r="J19" s="474">
        <f>IF(B$23="yes",B19,C19)+IF(D$23="yes",D19,E19)+IF(F$23="yes",F19,G19)+H19+I19</f>
        <v>487.59000000000003</v>
      </c>
      <c r="K19" s="405"/>
      <c r="M19" s="17"/>
      <c r="N19" s="17"/>
      <c r="O19" s="17"/>
      <c r="P19" s="17"/>
      <c r="Q19" s="17"/>
      <c r="R19" s="17"/>
      <c r="S19" s="17" t="str">
        <f t="shared" si="0"/>
        <v/>
      </c>
    </row>
    <row r="20" spans="1:19" ht="33.6" customHeight="1">
      <c r="A20" s="3" t="s">
        <v>246</v>
      </c>
      <c r="B20" s="427">
        <v>19515.919999999998</v>
      </c>
      <c r="C20" s="427"/>
      <c r="D20" s="427">
        <v>24321.759999999998</v>
      </c>
      <c r="E20" s="427"/>
      <c r="F20" s="427"/>
      <c r="G20" s="427"/>
      <c r="H20" s="453"/>
      <c r="I20" s="453"/>
      <c r="J20" s="448">
        <f>IF(B$23="yes",B20,C20)+IF(D$23="yes",D20,E20)+IF(F$23="yes",F20,G20)+H20+I20</f>
        <v>43837.679999999993</v>
      </c>
      <c r="M20" s="6"/>
      <c r="N20" s="6"/>
      <c r="O20" s="6"/>
      <c r="P20" s="6"/>
      <c r="Q20" s="6"/>
      <c r="R20" s="6"/>
      <c r="S20" s="6"/>
    </row>
    <row r="21" spans="1:19" ht="31.5" customHeight="1">
      <c r="A21" s="3" t="s">
        <v>247</v>
      </c>
      <c r="B21" s="428">
        <v>5455.98</v>
      </c>
      <c r="C21" s="428"/>
      <c r="D21" s="428">
        <v>1129.8399999999999</v>
      </c>
      <c r="E21" s="428"/>
      <c r="F21" s="428"/>
      <c r="G21" s="428"/>
      <c r="H21" s="5"/>
      <c r="I21" s="5"/>
      <c r="J21" s="5"/>
      <c r="M21" s="6"/>
      <c r="N21" s="6"/>
      <c r="O21" s="6"/>
      <c r="P21" s="6"/>
      <c r="Q21" s="6"/>
      <c r="R21" s="6"/>
      <c r="S21" s="6"/>
    </row>
    <row r="22" spans="1:19" ht="26.25" customHeight="1">
      <c r="A22" s="3" t="s">
        <v>248</v>
      </c>
      <c r="B22" s="571">
        <f>IF(B23="Yes",B21,C21)</f>
        <v>5455.98</v>
      </c>
      <c r="C22" s="571"/>
      <c r="D22" s="572">
        <f>IF(D23="Yes",D21,E21)</f>
        <v>1129.8399999999999</v>
      </c>
      <c r="E22" s="573"/>
      <c r="F22" s="577">
        <f>IF(F23="Yes",F21,G21)</f>
        <v>0</v>
      </c>
      <c r="G22" s="578"/>
      <c r="H22" s="454"/>
      <c r="I22" s="454"/>
      <c r="J22" s="5"/>
      <c r="M22" s="6"/>
      <c r="N22" s="6"/>
      <c r="O22" s="6"/>
      <c r="P22" s="6"/>
      <c r="Q22" s="6"/>
      <c r="R22" s="6"/>
      <c r="S22" s="6"/>
    </row>
    <row r="23" spans="1:19" ht="33.75" customHeight="1">
      <c r="A23" s="3" t="s">
        <v>249</v>
      </c>
      <c r="B23" s="383" t="s">
        <v>92</v>
      </c>
      <c r="C23" s="383" t="s">
        <v>77</v>
      </c>
      <c r="D23" s="383" t="s">
        <v>92</v>
      </c>
      <c r="E23" s="383" t="s">
        <v>77</v>
      </c>
      <c r="F23" s="383" t="s">
        <v>92</v>
      </c>
      <c r="G23" s="383" t="s">
        <v>77</v>
      </c>
      <c r="H23" s="402"/>
      <c r="I23" s="402"/>
      <c r="J23" s="453"/>
      <c r="M23" s="6"/>
      <c r="N23" s="6"/>
      <c r="O23" s="6"/>
      <c r="P23" s="6"/>
      <c r="Q23" s="6"/>
      <c r="R23" s="6"/>
      <c r="S23" s="6"/>
    </row>
    <row r="24" spans="1:19" ht="33.75" customHeight="1">
      <c r="A24" s="480" t="s">
        <v>250</v>
      </c>
      <c r="B24" s="602">
        <f>IF(B19+C19=0,"",+Total_Wage-Parking_Per_Hour)</f>
        <v>51.7</v>
      </c>
      <c r="C24" s="602"/>
      <c r="D24" s="603">
        <f>IF(D19+E19=0,"",+Total_Wage-Parking_Per_Hour)</f>
        <v>51.7</v>
      </c>
      <c r="E24" s="604"/>
      <c r="F24" s="587" t="str">
        <f>IF(F19+G19=0,"",+Total_Wage-Parking_Per_Hour)</f>
        <v/>
      </c>
      <c r="G24" s="587"/>
      <c r="H24" s="452" t="str">
        <f>IF(H19=0,"",+Total_Wage-Parking_Per_Hour)</f>
        <v/>
      </c>
      <c r="I24" s="452" t="str">
        <f>IF(I19=0,"",+Total_Wage-Parking_Per_Hour)</f>
        <v/>
      </c>
      <c r="J24" s="475">
        <f>IF(J19=0,0,+Total_Wage-Parking_Per_Hour)</f>
        <v>51.7</v>
      </c>
      <c r="M24" s="6"/>
      <c r="N24" s="6"/>
      <c r="O24" s="6"/>
      <c r="P24" s="6"/>
      <c r="Q24" s="6"/>
      <c r="R24" s="6"/>
      <c r="S24" s="6"/>
    </row>
    <row r="25" spans="1:19" ht="33.75" customHeight="1">
      <c r="A25" s="480" t="s">
        <v>251</v>
      </c>
      <c r="B25" s="602">
        <f>IF(Parking="Yes",Parking_Per_Hour,"")</f>
        <v>3.125</v>
      </c>
      <c r="C25" s="602"/>
      <c r="D25" s="603">
        <f>IF(Parking="Yes",Parking_Per_Hour,"")</f>
        <v>3.125</v>
      </c>
      <c r="E25" s="604"/>
      <c r="F25" s="587">
        <f>IF(Parking="Yes",Parking_Per_Hour,"")</f>
        <v>3.125</v>
      </c>
      <c r="G25" s="587"/>
      <c r="H25" s="452">
        <f>IF(Parking="Yes",Parking_Per_Hour,"")</f>
        <v>3.125</v>
      </c>
      <c r="I25" s="452">
        <f>IF(Parking="Yes",Parking_Per_Hour,"")</f>
        <v>3.125</v>
      </c>
      <c r="J25" s="475">
        <f>IF(J19=0,0,Parking_Per_Hour)</f>
        <v>3.125</v>
      </c>
      <c r="M25" s="6"/>
      <c r="N25" s="6"/>
      <c r="O25" s="6"/>
      <c r="P25" s="6"/>
      <c r="Q25" s="6"/>
      <c r="R25" s="6"/>
      <c r="S25" s="6"/>
    </row>
    <row r="26" spans="1:19" ht="33.75" customHeight="1">
      <c r="A26" s="480" t="s">
        <v>252</v>
      </c>
      <c r="B26" s="602" t="str">
        <f>IF(Lifts_Needed="Yes",Lifts_Per_Hour,"")</f>
        <v/>
      </c>
      <c r="C26" s="602"/>
      <c r="D26" s="603" t="str">
        <f>IF(Lifts_Needed="Yes",Lifts_Per_Hour,"")</f>
        <v/>
      </c>
      <c r="E26" s="604"/>
      <c r="F26" s="587" t="str">
        <f>IF(Lifts_Needed="Yes",Lifts_Per_Hour,"")</f>
        <v/>
      </c>
      <c r="G26" s="587"/>
      <c r="H26" s="452" t="str">
        <f>IF(Lifts_Needed="Yes",Lifts_Per_Hour,"")</f>
        <v/>
      </c>
      <c r="I26" s="452" t="str">
        <f>IF(Lifts_Needed="Yes",Lifts_Per_Hour,"")</f>
        <v/>
      </c>
      <c r="J26" s="475">
        <f>IF(J19=0,0,Lifts_Per_Hour)</f>
        <v>0</v>
      </c>
      <c r="M26" s="6"/>
      <c r="N26" s="6"/>
      <c r="O26" s="6"/>
      <c r="P26" s="6"/>
      <c r="Q26" s="6"/>
      <c r="R26" s="6"/>
      <c r="S26" s="6"/>
    </row>
    <row r="27" spans="1:19" ht="33.75" customHeight="1">
      <c r="A27" s="478" t="s">
        <v>253</v>
      </c>
      <c r="B27" s="594">
        <f>IFERROR(IF(B23="Yes",B18/B19,C18/B19),"")</f>
        <v>14.304874846840537</v>
      </c>
      <c r="C27" s="594"/>
      <c r="D27" s="595">
        <f>IFERROR(IF(D23="Yes",D18/D19,E18/D19),"")</f>
        <v>20.023700158258386</v>
      </c>
      <c r="E27" s="596"/>
      <c r="F27" s="597" t="str">
        <f>IFERROR(IF(F23="Yes",F18/F19,G18/F19),"")</f>
        <v/>
      </c>
      <c r="G27" s="597"/>
      <c r="H27" s="452" t="str">
        <f>IFERROR(H18/H19,"")</f>
        <v/>
      </c>
      <c r="I27" s="452" t="str">
        <f>IFERROR(I18/I19,"")</f>
        <v/>
      </c>
      <c r="J27" s="476">
        <f>IFERROR(J18/J19,0)</f>
        <v>17.343444287208513</v>
      </c>
      <c r="M27" s="6"/>
      <c r="N27" s="6"/>
      <c r="O27" s="6"/>
      <c r="P27" s="6"/>
      <c r="Q27" s="6"/>
      <c r="R27" s="6"/>
      <c r="S27" s="6"/>
    </row>
    <row r="28" spans="1:19" ht="33.75" customHeight="1">
      <c r="A28" s="478" t="s">
        <v>217</v>
      </c>
      <c r="B28" s="594">
        <f>IFERROR(IF(B27="","",B27*Material_Escalation),"")</f>
        <v>0</v>
      </c>
      <c r="C28" s="594"/>
      <c r="D28" s="595">
        <f>IFERROR(IF(D27="","",D27*Material_Escalation),"")</f>
        <v>0</v>
      </c>
      <c r="E28" s="596"/>
      <c r="F28" s="597" t="str">
        <f>IFERROR(IF(F27="","",F27*Material_Escalation),"")</f>
        <v/>
      </c>
      <c r="G28" s="597"/>
      <c r="H28" s="452" t="str">
        <f>IFERROR(IF(H27="","",H27*Material_Escalation),"")</f>
        <v/>
      </c>
      <c r="I28" s="452" t="str">
        <f>IFERROR(IF(I27="","",I27*Material_Escalation),"")</f>
        <v/>
      </c>
      <c r="J28" s="476">
        <f>IFERROR(IF(J27="","",J27*Material_Escalation),"")</f>
        <v>0</v>
      </c>
      <c r="M28" s="6"/>
      <c r="N28" s="6"/>
      <c r="O28" s="6"/>
      <c r="P28" s="6"/>
      <c r="Q28" s="6"/>
      <c r="R28" s="6"/>
      <c r="S28" s="6"/>
    </row>
    <row r="29" spans="1:19" ht="33.75" customHeight="1">
      <c r="A29" s="478" t="s">
        <v>254</v>
      </c>
      <c r="B29" s="594">
        <f>IFERROR((IF(B27="","",(B27+B28)*Sales_tax_percent)),"")</f>
        <v>0.85829249081043224</v>
      </c>
      <c r="C29" s="594"/>
      <c r="D29" s="595">
        <f>IFERROR((IF(D27="","",(D27+D28)*Sales_tax_percent)),"")</f>
        <v>1.201422009495503</v>
      </c>
      <c r="E29" s="596"/>
      <c r="F29" s="597" t="str">
        <f>IFERROR((IF(F27="","",(F27+F28)*Sales_tax_percent)),"")</f>
        <v/>
      </c>
      <c r="G29" s="597"/>
      <c r="H29" s="452" t="str">
        <f>IFERROR((IF(H27="","",(H27+H28)*Sales_tax_percent)),"")</f>
        <v/>
      </c>
      <c r="I29" s="452" t="str">
        <f>IFERROR((IF(I27="","",(I27+I28)*Sales_tax_percent)),"")</f>
        <v/>
      </c>
      <c r="J29" s="476">
        <f>IFERROR((IF(J27="","",(J27+J28)*Sales_tax_percent)),"")</f>
        <v>1.0406066572325108</v>
      </c>
      <c r="M29" s="6"/>
      <c r="N29" s="6"/>
      <c r="O29" s="6"/>
      <c r="P29" s="6"/>
      <c r="Q29" s="6"/>
      <c r="R29" s="6"/>
      <c r="S29" s="6"/>
    </row>
    <row r="30" spans="1:19" ht="33.75" customHeight="1">
      <c r="A30" s="3" t="s">
        <v>255</v>
      </c>
      <c r="B30" s="602">
        <f>IF(B24="","",IFERROR(+SUM(B24:C29),""))</f>
        <v>69.988167337650964</v>
      </c>
      <c r="C30" s="607"/>
      <c r="D30" s="595">
        <f t="shared" ref="D30" si="1">IF(D24="","",IFERROR(+SUM(D24:E29),""))</f>
        <v>76.050122167753898</v>
      </c>
      <c r="E30" s="596"/>
      <c r="F30" s="597" t="str">
        <f t="shared" ref="F30" si="2">IF(F24="","",IFERROR(+SUM(F24:G29),""))</f>
        <v/>
      </c>
      <c r="G30" s="597"/>
      <c r="H30" s="448" t="str">
        <f>IF(H24="","",IFERROR(+SUM(H24:H29),""))</f>
        <v/>
      </c>
      <c r="I30" s="448" t="str">
        <f>IF(I24="","",IFERROR(+SUM(I24:I29),""))</f>
        <v/>
      </c>
      <c r="J30" s="448">
        <f>IF(J24="","",IFERROR(+SUM(J24:J29),""))</f>
        <v>73.209050944441032</v>
      </c>
      <c r="M30" s="6"/>
      <c r="N30" s="6"/>
      <c r="O30" s="6"/>
      <c r="P30" s="6"/>
      <c r="Q30" s="6"/>
      <c r="R30" s="6"/>
      <c r="S30" s="6"/>
    </row>
    <row r="31" spans="1:19" ht="33.75" customHeight="1">
      <c r="A31" s="3" t="s">
        <v>149</v>
      </c>
      <c r="B31" s="602">
        <f>IFERROR(+B30/(1-Margin)-B30,"")</f>
        <v>23.329389112550317</v>
      </c>
      <c r="C31" s="607"/>
      <c r="D31" s="595">
        <f>IFERROR(+D30/(1-Margin)-D30,"")</f>
        <v>25.350040722584637</v>
      </c>
      <c r="E31" s="596"/>
      <c r="F31" s="597" t="str">
        <f>IFERROR(+F30/(1-Margin)-F30,"")</f>
        <v/>
      </c>
      <c r="G31" s="597"/>
      <c r="H31" s="448">
        <f>IF(H25="","",IFERROR(+SUM(H25:H30),""))</f>
        <v>3.125</v>
      </c>
      <c r="I31" s="448">
        <f>IF(I25="","",IFERROR(+SUM(I25:I30),""))</f>
        <v>3.125</v>
      </c>
      <c r="J31" s="448">
        <f>IFERROR(+J30/(1-Margin)-J30,"")</f>
        <v>24.403016981480349</v>
      </c>
      <c r="M31" s="6"/>
      <c r="N31" s="6"/>
      <c r="O31" s="6"/>
      <c r="P31" s="6"/>
      <c r="Q31" s="6"/>
      <c r="R31" s="6"/>
      <c r="S31" s="6"/>
    </row>
    <row r="32" spans="1:19" ht="33.75" customHeight="1">
      <c r="A32" s="3" t="s">
        <v>256</v>
      </c>
      <c r="B32" s="602">
        <f>IFERROR(+B30+B31,"")</f>
        <v>93.31755645020128</v>
      </c>
      <c r="C32" s="607"/>
      <c r="D32" s="595">
        <f t="shared" ref="D32" si="3">IFERROR(+D30+D31,"")</f>
        <v>101.40016289033854</v>
      </c>
      <c r="E32" s="596"/>
      <c r="F32" s="597" t="str">
        <f t="shared" ref="F32" si="4">IFERROR(+F30+F31,"")</f>
        <v/>
      </c>
      <c r="G32" s="597"/>
      <c r="H32" s="448" t="str">
        <f>IFERROR(+H30/(1-Margin),"")</f>
        <v/>
      </c>
      <c r="I32" s="448" t="str">
        <f>IFERROR(+I30/(1-Margin),"")</f>
        <v/>
      </c>
      <c r="J32" s="448">
        <f t="shared" ref="J32" si="5">IFERROR(+J30+J31,"")</f>
        <v>97.61206792592138</v>
      </c>
      <c r="M32" s="6"/>
      <c r="N32" s="6"/>
      <c r="O32" s="6"/>
      <c r="P32" s="6"/>
      <c r="Q32" s="6"/>
      <c r="R32" s="6"/>
      <c r="S32" s="6"/>
    </row>
    <row r="33" spans="1:19" ht="33.75" customHeight="1">
      <c r="A33" s="3" t="s">
        <v>257</v>
      </c>
      <c r="B33" s="602">
        <f>IFERROR(+(B30*B19)/(1-Margin),"")</f>
        <v>21324.927999999996</v>
      </c>
      <c r="C33" s="607"/>
      <c r="D33" s="595">
        <f>IFERROR(+(D30*D19)/(1-Margin),"")</f>
        <v>26269.7402</v>
      </c>
      <c r="E33" s="596"/>
      <c r="F33" s="597" t="str">
        <f>IFERROR(+(F30*F19)/(1-Margin),"")</f>
        <v/>
      </c>
      <c r="G33" s="597"/>
      <c r="H33" s="448" t="str">
        <f>IFERROR(+H32*H19,"")</f>
        <v/>
      </c>
      <c r="I33" s="448" t="str">
        <f>IFERROR(+I32*I19,"")</f>
        <v/>
      </c>
      <c r="J33" s="448">
        <f>IFERROR(ROUNDUP(+(J30*J19)/(1-Margin),-3),"")</f>
        <v>48000</v>
      </c>
      <c r="M33" s="6"/>
      <c r="N33" s="6"/>
      <c r="O33" s="6"/>
      <c r="P33" s="6"/>
      <c r="Q33" s="6"/>
      <c r="R33" s="6"/>
      <c r="S33" s="6"/>
    </row>
    <row r="34" spans="1:19" ht="26.25">
      <c r="B34" s="404"/>
      <c r="C34" s="404"/>
      <c r="D34" s="404"/>
      <c r="E34" s="404"/>
      <c r="F34" s="404"/>
      <c r="G34" s="404"/>
      <c r="M34" s="6"/>
      <c r="N34" s="6"/>
      <c r="O34" s="6"/>
      <c r="P34" s="6"/>
      <c r="Q34" s="6"/>
      <c r="R34" s="6"/>
      <c r="S34" s="6"/>
    </row>
    <row r="35" spans="1:19">
      <c r="M35" s="6"/>
      <c r="N35" s="6"/>
      <c r="O35" s="6"/>
      <c r="P35" s="6"/>
      <c r="Q35" s="6"/>
      <c r="R35" s="6"/>
      <c r="S35" s="6"/>
    </row>
    <row r="36" spans="1:19" ht="26.25">
      <c r="C36" s="393" t="s">
        <v>258</v>
      </c>
      <c r="D36" s="394" t="s">
        <v>259</v>
      </c>
      <c r="E36" s="395" t="s">
        <v>260</v>
      </c>
      <c r="F36" s="1" t="s">
        <v>261</v>
      </c>
      <c r="G36" s="401" t="s">
        <v>262</v>
      </c>
      <c r="H36" s="403" t="s">
        <v>226</v>
      </c>
      <c r="I36" s="403" t="s">
        <v>263</v>
      </c>
      <c r="M36" s="6"/>
      <c r="N36" s="6"/>
      <c r="O36" s="6"/>
      <c r="P36" s="6"/>
      <c r="Q36" s="6"/>
      <c r="R36" s="6"/>
      <c r="S36" s="6"/>
    </row>
    <row r="37" spans="1:19" ht="23.25">
      <c r="A37" s="598" t="s">
        <v>245</v>
      </c>
      <c r="B37" s="599"/>
      <c r="C37" s="456">
        <f>IF(B23="Yes",B19,C19)</f>
        <v>228.52</v>
      </c>
      <c r="D37" s="456">
        <f>IF(D23="Yes",D19,E19)</f>
        <v>259.07</v>
      </c>
      <c r="E37" s="456">
        <f>IF(F23="Yes",F19,G19)</f>
        <v>0</v>
      </c>
      <c r="F37" s="456">
        <f>+H19</f>
        <v>0</v>
      </c>
      <c r="G37" s="456">
        <f>+I19</f>
        <v>0</v>
      </c>
      <c r="H37" s="456">
        <f>SUM(C37:G37)</f>
        <v>487.59000000000003</v>
      </c>
      <c r="I37" s="451"/>
      <c r="J37" s="382"/>
      <c r="M37" s="6"/>
      <c r="N37" s="6"/>
      <c r="O37" s="6"/>
      <c r="P37" s="6"/>
      <c r="Q37" s="6"/>
      <c r="R37" s="6"/>
      <c r="S37" s="6"/>
    </row>
    <row r="38" spans="1:19" ht="23.25">
      <c r="A38" s="598" t="s">
        <v>264</v>
      </c>
      <c r="B38" s="599"/>
      <c r="C38" s="456">
        <f t="shared" ref="C38:H38" si="6">+Wage_Rate_Composite</f>
        <v>51.7</v>
      </c>
      <c r="D38" s="456">
        <f t="shared" si="6"/>
        <v>51.7</v>
      </c>
      <c r="E38" s="456">
        <f t="shared" si="6"/>
        <v>51.7</v>
      </c>
      <c r="F38" s="456">
        <f t="shared" si="6"/>
        <v>51.7</v>
      </c>
      <c r="G38" s="456">
        <f t="shared" si="6"/>
        <v>51.7</v>
      </c>
      <c r="H38" s="456">
        <f t="shared" si="6"/>
        <v>51.7</v>
      </c>
      <c r="I38" s="451"/>
      <c r="J38" s="382"/>
      <c r="M38" s="6"/>
      <c r="N38" s="6"/>
      <c r="O38" s="6"/>
      <c r="P38" s="6"/>
      <c r="Q38" s="6"/>
      <c r="R38" s="6"/>
      <c r="S38" s="6"/>
    </row>
    <row r="39" spans="1:19" ht="23.25">
      <c r="A39" s="598" t="str">
        <f>+A25</f>
        <v>Parking per hour</v>
      </c>
      <c r="B39" s="599"/>
      <c r="C39" s="456">
        <f t="shared" ref="C39:H39" si="7">+Parking_Per_Hour</f>
        <v>3.125</v>
      </c>
      <c r="D39" s="456">
        <f t="shared" si="7"/>
        <v>3.125</v>
      </c>
      <c r="E39" s="456">
        <f t="shared" si="7"/>
        <v>3.125</v>
      </c>
      <c r="F39" s="456">
        <f t="shared" si="7"/>
        <v>3.125</v>
      </c>
      <c r="G39" s="456">
        <f t="shared" si="7"/>
        <v>3.125</v>
      </c>
      <c r="H39" s="456">
        <f t="shared" si="7"/>
        <v>3.125</v>
      </c>
      <c r="I39" s="451"/>
      <c r="J39" s="382"/>
      <c r="M39" s="6"/>
      <c r="N39" s="6"/>
      <c r="O39" s="6"/>
      <c r="P39" s="6"/>
      <c r="Q39" s="6"/>
      <c r="R39" s="6"/>
      <c r="S39" s="6"/>
    </row>
    <row r="40" spans="1:19" ht="23.25">
      <c r="A40" s="598" t="str">
        <f>+A26</f>
        <v>Lifts per hour</v>
      </c>
      <c r="B40" s="599"/>
      <c r="C40" s="456">
        <f t="shared" ref="C40:H40" si="8">+Lifts_Per_Hour</f>
        <v>0</v>
      </c>
      <c r="D40" s="456">
        <f t="shared" si="8"/>
        <v>0</v>
      </c>
      <c r="E40" s="456">
        <f t="shared" si="8"/>
        <v>0</v>
      </c>
      <c r="F40" s="456">
        <f t="shared" si="8"/>
        <v>0</v>
      </c>
      <c r="G40" s="456">
        <f t="shared" si="8"/>
        <v>0</v>
      </c>
      <c r="H40" s="456">
        <f t="shared" si="8"/>
        <v>0</v>
      </c>
      <c r="I40" s="451"/>
      <c r="J40" s="382"/>
      <c r="M40" s="6"/>
      <c r="N40" s="6"/>
      <c r="O40" s="6"/>
      <c r="P40" s="6"/>
      <c r="Q40" s="6"/>
      <c r="R40" s="6"/>
      <c r="S40" s="6"/>
    </row>
    <row r="41" spans="1:19" ht="23.25">
      <c r="A41" s="600" t="s">
        <v>265</v>
      </c>
      <c r="B41" s="601"/>
      <c r="C41" s="457">
        <f>IFERROR(+C37*SUM(C38:C40),"")</f>
        <v>12528.609</v>
      </c>
      <c r="D41" s="457">
        <f t="shared" ref="D41:H41" si="9">IFERROR(+D37*SUM(D38:D40),"")</f>
        <v>14203.51275</v>
      </c>
      <c r="E41" s="457">
        <f t="shared" si="9"/>
        <v>0</v>
      </c>
      <c r="F41" s="457">
        <f t="shared" si="9"/>
        <v>0</v>
      </c>
      <c r="G41" s="457">
        <f t="shared" si="9"/>
        <v>0</v>
      </c>
      <c r="H41" s="457">
        <f t="shared" si="9"/>
        <v>26732.121750000002</v>
      </c>
      <c r="I41" s="425">
        <f>IFERROR(ROUNDUP(SUM(H38:H40)/H37,2),0)</f>
        <v>0.12</v>
      </c>
      <c r="J41" s="382"/>
      <c r="M41" s="6"/>
      <c r="N41" s="6"/>
      <c r="O41" s="6"/>
      <c r="P41" s="6"/>
      <c r="Q41" s="6"/>
      <c r="R41" s="6"/>
      <c r="S41" s="6"/>
    </row>
    <row r="42" spans="1:19" ht="23.25">
      <c r="A42" s="600" t="s">
        <v>266</v>
      </c>
      <c r="B42" s="601"/>
      <c r="C42" s="457">
        <f>IF(B23="Yes",B18,C18)</f>
        <v>3268.95</v>
      </c>
      <c r="D42" s="457">
        <f>IF(D23="Yes",D18,E18)</f>
        <v>5187.54</v>
      </c>
      <c r="E42" s="457">
        <f>IF(F23="Yes",F18,G18)</f>
        <v>0</v>
      </c>
      <c r="F42" s="457">
        <f>+H18</f>
        <v>0</v>
      </c>
      <c r="G42" s="457">
        <f>+I18</f>
        <v>0</v>
      </c>
      <c r="H42" s="457">
        <f>SUM(C42:G42)</f>
        <v>8456.49</v>
      </c>
      <c r="I42" s="608">
        <f>IFERROR(ROUNDUP((+SUM(H42:H44))/H37,2),0)</f>
        <v>18.39</v>
      </c>
      <c r="J42" s="382"/>
      <c r="M42" s="6"/>
      <c r="N42" s="6"/>
      <c r="O42" s="6"/>
      <c r="P42" s="6"/>
      <c r="Q42" s="6"/>
      <c r="R42" s="6"/>
      <c r="S42" s="6"/>
    </row>
    <row r="43" spans="1:19" ht="23.25">
      <c r="A43" s="539" t="s">
        <v>217</v>
      </c>
      <c r="B43" s="479">
        <f>+Material_Escalation</f>
        <v>0</v>
      </c>
      <c r="C43" s="458">
        <f t="shared" ref="C43:H43" si="10">+C42*Material_Escalation</f>
        <v>0</v>
      </c>
      <c r="D43" s="458">
        <f t="shared" si="10"/>
        <v>0</v>
      </c>
      <c r="E43" s="458">
        <f t="shared" si="10"/>
        <v>0</v>
      </c>
      <c r="F43" s="458">
        <f t="shared" si="10"/>
        <v>0</v>
      </c>
      <c r="G43" s="458">
        <f t="shared" si="10"/>
        <v>0</v>
      </c>
      <c r="H43" s="458">
        <f t="shared" si="10"/>
        <v>0</v>
      </c>
      <c r="I43" s="609"/>
      <c r="J43" s="382"/>
      <c r="M43" s="6"/>
      <c r="N43" s="6"/>
      <c r="O43" s="6"/>
      <c r="P43" s="6"/>
      <c r="Q43" s="6"/>
      <c r="R43" s="6"/>
      <c r="S43" s="6"/>
    </row>
    <row r="44" spans="1:19" ht="23.25">
      <c r="A44" s="539" t="s">
        <v>254</v>
      </c>
      <c r="B44" s="479">
        <f>+Sales_tax_percent</f>
        <v>0.06</v>
      </c>
      <c r="C44" s="458">
        <f t="shared" ref="C44:H44" si="11">(+C42+C43)*Sales_tax_percent</f>
        <v>196.13699999999997</v>
      </c>
      <c r="D44" s="458">
        <f t="shared" si="11"/>
        <v>311.25239999999997</v>
      </c>
      <c r="E44" s="458">
        <f t="shared" si="11"/>
        <v>0</v>
      </c>
      <c r="F44" s="458">
        <f t="shared" si="11"/>
        <v>0</v>
      </c>
      <c r="G44" s="458">
        <f t="shared" si="11"/>
        <v>0</v>
      </c>
      <c r="H44" s="458">
        <f t="shared" si="11"/>
        <v>507.38939999999997</v>
      </c>
      <c r="I44" s="610"/>
      <c r="J44" s="382"/>
      <c r="M44" s="6"/>
      <c r="N44" s="6"/>
      <c r="O44" s="6"/>
      <c r="P44" s="6"/>
      <c r="Q44" s="6"/>
      <c r="R44" s="6"/>
      <c r="S44" s="6"/>
    </row>
    <row r="45" spans="1:19" ht="23.25">
      <c r="A45" s="588" t="s">
        <v>267</v>
      </c>
      <c r="B45" s="589"/>
      <c r="C45" s="459">
        <f>SUM(C41:C44)</f>
        <v>15993.696000000002</v>
      </c>
      <c r="D45" s="459">
        <f>SUM(D41:D44)</f>
        <v>19702.30515</v>
      </c>
      <c r="E45" s="459">
        <f>SUM(E41:E44)</f>
        <v>0</v>
      </c>
      <c r="F45" s="459">
        <f t="shared" ref="F45:G45" si="12">SUM(F41:F44)</f>
        <v>0</v>
      </c>
      <c r="G45" s="459">
        <f t="shared" si="12"/>
        <v>0</v>
      </c>
      <c r="H45" s="459">
        <f>SUM(H41:H44)</f>
        <v>35696.001150000004</v>
      </c>
      <c r="I45" s="426">
        <f>IFERROR(ROUNDUP(+H45/H37,2),0)</f>
        <v>73.210000000000008</v>
      </c>
      <c r="M45" s="6"/>
      <c r="N45" s="6"/>
      <c r="O45" s="6"/>
      <c r="P45" s="6"/>
      <c r="Q45" s="6"/>
      <c r="R45" s="6"/>
      <c r="S45" s="6"/>
    </row>
    <row r="46" spans="1:19" ht="23.25">
      <c r="A46" s="588" t="s">
        <v>149</v>
      </c>
      <c r="B46" s="589"/>
      <c r="C46" s="424">
        <f>Margin</f>
        <v>0.25</v>
      </c>
      <c r="D46" s="391"/>
      <c r="E46" s="391"/>
      <c r="F46" s="391"/>
      <c r="G46" s="391"/>
      <c r="H46" s="455">
        <f>IFERROR(+I46*J19,"")</f>
        <v>11902.071900000001</v>
      </c>
      <c r="I46" s="426">
        <f>IFERROR(ROUNDUP(-+I45+I45/(1-Margin),2),"")</f>
        <v>24.41</v>
      </c>
      <c r="M46" s="6"/>
      <c r="N46" s="6"/>
      <c r="O46" s="6"/>
      <c r="P46" s="6"/>
      <c r="Q46" s="6"/>
      <c r="R46" s="6"/>
      <c r="S46" s="6"/>
    </row>
    <row r="47" spans="1:19" ht="23.25">
      <c r="A47" s="590" t="s">
        <v>268</v>
      </c>
      <c r="B47" s="591"/>
      <c r="C47" s="391"/>
      <c r="D47" s="391"/>
      <c r="E47" s="391"/>
      <c r="F47" s="391"/>
      <c r="G47" s="391"/>
      <c r="H47" s="399">
        <f>IFERROR(ROUNDUP(+I47*H37,-2),"")</f>
        <v>47600</v>
      </c>
      <c r="I47" s="397">
        <f>IFERROR(+I45+I46,"")</f>
        <v>97.62</v>
      </c>
      <c r="M47" s="6"/>
      <c r="N47" s="6"/>
      <c r="O47" s="6"/>
      <c r="P47" s="6"/>
      <c r="Q47" s="6"/>
      <c r="R47" s="6"/>
      <c r="S47" s="6"/>
    </row>
    <row r="48" spans="1:19" ht="26.25">
      <c r="A48" s="592" t="s">
        <v>269</v>
      </c>
      <c r="B48" s="593"/>
      <c r="C48" s="391"/>
      <c r="D48" s="391"/>
      <c r="E48" s="391"/>
      <c r="F48" s="391"/>
      <c r="G48" s="391"/>
      <c r="H48" s="400">
        <f>+J20</f>
        <v>43837.679999999993</v>
      </c>
      <c r="I48" s="398">
        <f>IFERROR(+H48/H37,0)</f>
        <v>89.906847966529241</v>
      </c>
      <c r="M48" s="6"/>
      <c r="N48" s="6"/>
      <c r="O48" s="6"/>
      <c r="P48" s="6"/>
      <c r="Q48" s="6"/>
      <c r="R48" s="6"/>
      <c r="S48" s="6"/>
    </row>
    <row r="49" spans="1:19" ht="39" customHeight="1">
      <c r="A49" s="605" t="s">
        <v>270</v>
      </c>
      <c r="B49" s="606"/>
      <c r="C49" s="391"/>
      <c r="D49" s="391"/>
      <c r="E49" s="391"/>
      <c r="F49" s="391"/>
      <c r="G49" s="391"/>
      <c r="H49" s="473"/>
      <c r="I49" s="385"/>
      <c r="M49" s="6"/>
      <c r="N49" s="6"/>
      <c r="O49" s="6"/>
      <c r="P49" s="6"/>
      <c r="Q49" s="6"/>
      <c r="R49" s="6"/>
      <c r="S49" s="6"/>
    </row>
    <row r="50" spans="1:19">
      <c r="M50" s="6"/>
      <c r="N50" s="6"/>
      <c r="O50" s="6"/>
      <c r="P50" s="6"/>
      <c r="Q50" s="6"/>
      <c r="R50" s="6"/>
      <c r="S50" s="6"/>
    </row>
    <row r="55" spans="1:19">
      <c r="M55" s="382"/>
      <c r="N55" s="382"/>
      <c r="O55" s="382"/>
      <c r="P55" s="382"/>
      <c r="Q55" s="382"/>
      <c r="R55" s="382"/>
      <c r="S55" s="382"/>
    </row>
    <row r="56" spans="1:19">
      <c r="M56" s="382"/>
      <c r="N56" s="382"/>
      <c r="O56" s="382"/>
      <c r="P56" s="382"/>
      <c r="Q56" s="382"/>
      <c r="R56" s="382"/>
      <c r="S56" s="382"/>
    </row>
    <row r="57" spans="1:19" ht="26.45" customHeight="1">
      <c r="M57" s="382"/>
      <c r="N57" s="382"/>
      <c r="O57" s="382"/>
      <c r="P57" s="382"/>
      <c r="Q57" s="382"/>
      <c r="R57" s="382"/>
      <c r="S57" s="382"/>
    </row>
    <row r="58" spans="1:19" s="382" customFormat="1" ht="26.4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9" s="382" customFormat="1" ht="26.4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9" s="382" customFormat="1" ht="26.4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9" s="382" customFormat="1" ht="26.4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9" s="382" customFormat="1" ht="26.4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M62" s="2"/>
      <c r="N62" s="2"/>
      <c r="O62" s="2"/>
      <c r="P62" s="2"/>
      <c r="Q62" s="2"/>
      <c r="R62" s="2"/>
      <c r="S62" s="2"/>
    </row>
    <row r="63" spans="1:19" s="382" customFormat="1" ht="26.4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M63" s="2"/>
      <c r="N63" s="2"/>
      <c r="O63" s="2"/>
      <c r="P63" s="2"/>
      <c r="Q63" s="2"/>
      <c r="R63" s="2"/>
      <c r="S63" s="2"/>
    </row>
    <row r="64" spans="1:19" s="382" customFormat="1" ht="26.4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M64" s="2"/>
      <c r="N64" s="2"/>
      <c r="O64" s="2"/>
      <c r="P64" s="2"/>
      <c r="Q64" s="2"/>
      <c r="R64" s="2"/>
      <c r="S64" s="2"/>
    </row>
    <row r="65" spans="1:19" s="382" customFormat="1" ht="26.4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M65" s="2"/>
      <c r="N65" s="2"/>
      <c r="O65" s="2"/>
      <c r="P65" s="2"/>
      <c r="Q65" s="2"/>
      <c r="R65" s="2"/>
      <c r="S65" s="2"/>
    </row>
    <row r="66" spans="1:19" ht="26.45" customHeight="1"/>
    <row r="67" spans="1:19" ht="26.45" customHeight="1"/>
    <row r="68" spans="1:19" ht="26.45" customHeight="1"/>
    <row r="69" spans="1:19" ht="26.45" customHeight="1"/>
    <row r="70" spans="1:19" ht="26.45" customHeight="1"/>
  </sheetData>
  <sortState xmlns:xlrd2="http://schemas.microsoft.com/office/spreadsheetml/2017/richdata2" ref="M14:S18">
    <sortCondition descending="1" ref="M18"/>
  </sortState>
  <mergeCells count="58">
    <mergeCell ref="I42:I44"/>
    <mergeCell ref="B25:C25"/>
    <mergeCell ref="D25:E25"/>
    <mergeCell ref="F25:G25"/>
    <mergeCell ref="B26:C26"/>
    <mergeCell ref="D26:E26"/>
    <mergeCell ref="F26:G26"/>
    <mergeCell ref="F27:G27"/>
    <mergeCell ref="B30:C30"/>
    <mergeCell ref="D30:E30"/>
    <mergeCell ref="F30:G30"/>
    <mergeCell ref="B33:C33"/>
    <mergeCell ref="D33:E33"/>
    <mergeCell ref="B27:C27"/>
    <mergeCell ref="D27:E27"/>
    <mergeCell ref="A49:B49"/>
    <mergeCell ref="F33:G33"/>
    <mergeCell ref="B31:C31"/>
    <mergeCell ref="D32:E32"/>
    <mergeCell ref="F32:G32"/>
    <mergeCell ref="D31:E31"/>
    <mergeCell ref="F31:G31"/>
    <mergeCell ref="B32:C32"/>
    <mergeCell ref="A37:B37"/>
    <mergeCell ref="A39:B39"/>
    <mergeCell ref="A40:B40"/>
    <mergeCell ref="F24:G24"/>
    <mergeCell ref="A45:B45"/>
    <mergeCell ref="A46:B46"/>
    <mergeCell ref="A47:B47"/>
    <mergeCell ref="A48:B48"/>
    <mergeCell ref="B28:C28"/>
    <mergeCell ref="D28:E28"/>
    <mergeCell ref="F28:G28"/>
    <mergeCell ref="B29:C29"/>
    <mergeCell ref="D29:E29"/>
    <mergeCell ref="F29:G29"/>
    <mergeCell ref="A38:B38"/>
    <mergeCell ref="A41:B41"/>
    <mergeCell ref="A42:B42"/>
    <mergeCell ref="B24:C24"/>
    <mergeCell ref="D24:E24"/>
    <mergeCell ref="D1:E1"/>
    <mergeCell ref="A9:D9"/>
    <mergeCell ref="M3:S3"/>
    <mergeCell ref="D2:E2"/>
    <mergeCell ref="B22:C22"/>
    <mergeCell ref="D22:E22"/>
    <mergeCell ref="I3:J3"/>
    <mergeCell ref="E3:F3"/>
    <mergeCell ref="I8:J8"/>
    <mergeCell ref="G9:H9"/>
    <mergeCell ref="B8:D8"/>
    <mergeCell ref="F22:G22"/>
    <mergeCell ref="G6:H6"/>
    <mergeCell ref="C5:C7"/>
    <mergeCell ref="D5:D7"/>
    <mergeCell ref="A14:J14"/>
  </mergeCells>
  <dataValidations count="10">
    <dataValidation type="list" allowBlank="1" showInputMessage="1" showErrorMessage="1" sqref="G15" xr:uid="{4DFE9C37-5835-4109-AB9B-DE4C020284B9}">
      <formula1>#REF!</formula1>
    </dataValidation>
    <dataValidation type="list" allowBlank="1" showInputMessage="1" showErrorMessage="1" sqref="D2" xr:uid="{2B74613F-CA5D-4F20-A60A-9A74A4E2D6F9}">
      <formula1>Bidding_company</formula1>
    </dataValidation>
    <dataValidation type="list" allowBlank="1" showInputMessage="1" showErrorMessage="1" sqref="H12 F8 J9 B23:G23 B34:G34 J4 H3 F12:F13" xr:uid="{E6965770-B664-4DE5-83EA-54F1AEED6CC3}">
      <formula1>List</formula1>
    </dataValidation>
    <dataValidation type="list" allowBlank="1" showInputMessage="1" showErrorMessage="1" sqref="B8" xr:uid="{BB400C6B-BF39-4A20-A59D-ADB0A457079D}">
      <formula1>Wage_Rate_List</formula1>
    </dataValidation>
    <dataValidation type="list" allowBlank="1" showInputMessage="1" showErrorMessage="1" sqref="B5" xr:uid="{8A014659-EA28-485F-8807-4EE094E5C776}">
      <formula1>Rate_State</formula1>
    </dataValidation>
    <dataValidation type="list" allowBlank="1" showInputMessage="1" showErrorMessage="1" sqref="F12 H3" xr:uid="{E89C0129-A324-4604-9D38-5A307889C5EF}">
      <formula1>State</formula1>
    </dataValidation>
    <dataValidation type="list" allowBlank="1" showInputMessage="1" showErrorMessage="1" sqref="D5" xr:uid="{EB7D3055-5401-4DD2-8864-87154AC04906}">
      <formula1>Project_Type</formula1>
    </dataValidation>
    <dataValidation type="list" allowBlank="1" showInputMessage="1" showErrorMessage="1" sqref="F2" xr:uid="{59864AE3-DC4D-4605-A308-587D00A0F4AC}">
      <formula1>Team_list</formula1>
    </dataValidation>
    <dataValidation type="list" allowBlank="1" showInputMessage="1" showErrorMessage="1" sqref="H4" xr:uid="{80CBE5B6-2D2D-45DA-A6F4-042ADB1D0A92}">
      <formula1>Type_Of_Building</formula1>
    </dataValidation>
    <dataValidation type="list" allowBlank="1" showInputMessage="1" showErrorMessage="1" sqref="H5" xr:uid="{EF26C089-5773-42E0-A875-EF1BE00A0D12}">
      <formula1>Preference</formula1>
    </dataValidation>
  </dataValidations>
  <pageMargins left="0.7" right="0.7" top="0.75" bottom="0.75" header="0.3" footer="0.3"/>
  <pageSetup paperSize="9" scale="3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EA5F-3921-4251-AA0B-37AD02A33F47}">
  <sheetPr>
    <tabColor rgb="FF00B0F0"/>
  </sheetPr>
  <dimension ref="A1:X15"/>
  <sheetViews>
    <sheetView topLeftCell="A42" workbookViewId="0">
      <selection activeCell="J65" sqref="J65"/>
    </sheetView>
  </sheetViews>
  <sheetFormatPr defaultColWidth="8.85546875" defaultRowHeight="12.75"/>
  <cols>
    <col min="1" max="24" width="14.28515625" style="155" customWidth="1"/>
    <col min="25" max="16384" width="8.85546875" style="155"/>
  </cols>
  <sheetData>
    <row r="1" spans="1:24" ht="15">
      <c r="A1" s="228" t="s">
        <v>271</v>
      </c>
      <c r="B1" s="228" t="s">
        <v>271</v>
      </c>
      <c r="C1" s="228" t="s">
        <v>271</v>
      </c>
      <c r="D1" s="228" t="s">
        <v>271</v>
      </c>
      <c r="E1" s="228" t="s">
        <v>271</v>
      </c>
      <c r="F1" s="229" t="s">
        <v>272</v>
      </c>
      <c r="G1" s="228" t="s">
        <v>273</v>
      </c>
      <c r="H1" s="226" t="s">
        <v>271</v>
      </c>
      <c r="I1" s="226" t="s">
        <v>271</v>
      </c>
      <c r="J1" s="226" t="s">
        <v>271</v>
      </c>
      <c r="K1" s="226" t="s">
        <v>271</v>
      </c>
      <c r="L1" s="226" t="s">
        <v>271</v>
      </c>
      <c r="M1" s="227" t="s">
        <v>272</v>
      </c>
      <c r="N1" s="226" t="s">
        <v>274</v>
      </c>
      <c r="O1" s="224" t="s">
        <v>271</v>
      </c>
      <c r="P1" s="224" t="s">
        <v>271</v>
      </c>
      <c r="Q1" s="224" t="s">
        <v>271</v>
      </c>
      <c r="R1" s="224" t="s">
        <v>271</v>
      </c>
      <c r="S1" s="224" t="s">
        <v>271</v>
      </c>
      <c r="T1" s="225" t="s">
        <v>272</v>
      </c>
      <c r="U1" s="224" t="s">
        <v>273</v>
      </c>
      <c r="V1" s="231"/>
      <c r="W1" s="230"/>
      <c r="X1" s="230"/>
    </row>
    <row r="2" spans="1:24" ht="51">
      <c r="A2" s="228" t="s">
        <v>275</v>
      </c>
      <c r="B2" s="228" t="s">
        <v>276</v>
      </c>
      <c r="C2" s="228" t="s">
        <v>277</v>
      </c>
      <c r="D2" s="228" t="s">
        <v>278</v>
      </c>
      <c r="E2" s="228" t="s">
        <v>279</v>
      </c>
      <c r="F2" s="229" t="s">
        <v>280</v>
      </c>
      <c r="G2" s="228" t="s">
        <v>281</v>
      </c>
      <c r="H2" s="226" t="s">
        <v>282</v>
      </c>
      <c r="I2" s="226" t="s">
        <v>283</v>
      </c>
      <c r="J2" s="226" t="s">
        <v>284</v>
      </c>
      <c r="K2" s="226" t="s">
        <v>285</v>
      </c>
      <c r="L2" s="226" t="s">
        <v>286</v>
      </c>
      <c r="M2" s="227" t="s">
        <v>287</v>
      </c>
      <c r="N2" s="226" t="s">
        <v>288</v>
      </c>
      <c r="O2" s="224" t="s">
        <v>289</v>
      </c>
      <c r="P2" s="224" t="s">
        <v>290</v>
      </c>
      <c r="Q2" s="224" t="s">
        <v>291</v>
      </c>
      <c r="R2" s="224" t="s">
        <v>292</v>
      </c>
      <c r="S2" s="224" t="s">
        <v>293</v>
      </c>
      <c r="T2" s="225" t="s">
        <v>294</v>
      </c>
      <c r="U2" s="224" t="s">
        <v>295</v>
      </c>
      <c r="V2" s="223" t="s">
        <v>296</v>
      </c>
      <c r="W2" s="222" t="s">
        <v>297</v>
      </c>
      <c r="X2" s="222" t="s">
        <v>298</v>
      </c>
    </row>
    <row r="3" spans="1:24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</row>
    <row r="8" spans="1:24">
      <c r="A8" s="752" t="s">
        <v>38</v>
      </c>
      <c r="B8" s="753"/>
      <c r="C8" s="753"/>
    </row>
    <row r="9" spans="1:24">
      <c r="A9" s="751" t="s">
        <v>40</v>
      </c>
      <c r="B9" s="751"/>
      <c r="C9" s="220"/>
    </row>
    <row r="10" spans="1:24">
      <c r="A10" s="751" t="s">
        <v>42</v>
      </c>
      <c r="B10" s="751"/>
      <c r="C10" s="221"/>
    </row>
    <row r="11" spans="1:24">
      <c r="A11" s="751" t="s">
        <v>44</v>
      </c>
      <c r="B11" s="751"/>
      <c r="C11" s="221"/>
    </row>
    <row r="12" spans="1:24">
      <c r="A12" s="751" t="s">
        <v>46</v>
      </c>
      <c r="B12" s="751"/>
      <c r="C12" s="221"/>
    </row>
    <row r="13" spans="1:24">
      <c r="A13" s="751" t="s">
        <v>50</v>
      </c>
      <c r="B13" s="751"/>
      <c r="C13" s="221"/>
    </row>
    <row r="14" spans="1:24">
      <c r="A14" s="751" t="s">
        <v>53</v>
      </c>
      <c r="B14" s="751"/>
      <c r="C14" s="221"/>
    </row>
    <row r="15" spans="1:24">
      <c r="A15" s="751" t="s">
        <v>56</v>
      </c>
      <c r="B15" s="751"/>
      <c r="C15" s="220">
        <f>SUM(C10:C14)</f>
        <v>0</v>
      </c>
    </row>
  </sheetData>
  <mergeCells count="8">
    <mergeCell ref="A14:B14"/>
    <mergeCell ref="A15:B15"/>
    <mergeCell ref="A8:C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9DBD-1871-48C7-91A2-56961F78D930}">
  <dimension ref="A1:L25"/>
  <sheetViews>
    <sheetView zoomScale="130" zoomScaleNormal="130" workbookViewId="0">
      <selection activeCell="F25" sqref="F25"/>
    </sheetView>
  </sheetViews>
  <sheetFormatPr defaultRowHeight="15"/>
  <cols>
    <col min="1" max="1" width="44.85546875" customWidth="1"/>
    <col min="3" max="3" width="12.5703125" customWidth="1"/>
    <col min="4" max="4" width="11.28515625" bestFit="1" customWidth="1"/>
    <col min="5" max="5" width="12.140625" bestFit="1" customWidth="1"/>
    <col min="7" max="7" width="5" customWidth="1"/>
    <col min="8" max="8" width="22.5703125" customWidth="1"/>
    <col min="9" max="9" width="20.42578125" bestFit="1" customWidth="1"/>
    <col min="11" max="11" width="12.28515625" bestFit="1" customWidth="1"/>
    <col min="12" max="12" width="13.85546875" bestFit="1" customWidth="1"/>
    <col min="13" max="13" width="29.7109375" bestFit="1" customWidth="1"/>
    <col min="18" max="18" width="18.85546875" customWidth="1"/>
    <col min="19" max="19" width="71.42578125" bestFit="1" customWidth="1"/>
  </cols>
  <sheetData>
    <row r="1" spans="1:12" ht="28.5">
      <c r="A1" s="754" t="s">
        <v>299</v>
      </c>
      <c r="B1" s="754"/>
      <c r="C1" s="754"/>
      <c r="D1" s="754"/>
      <c r="E1" s="754"/>
      <c r="F1" s="754"/>
      <c r="H1" s="381" t="s">
        <v>300</v>
      </c>
      <c r="I1" s="380">
        <f>IFERROR(labor_rate,"")</f>
        <v>51.7</v>
      </c>
    </row>
    <row r="2" spans="1:12" ht="19.899999999999999" customHeight="1">
      <c r="A2" s="367" t="s">
        <v>162</v>
      </c>
      <c r="B2" s="366" t="s">
        <v>301</v>
      </c>
      <c r="C2" s="366" t="s">
        <v>302</v>
      </c>
      <c r="D2" s="366" t="s">
        <v>303</v>
      </c>
      <c r="E2" s="366" t="s">
        <v>304</v>
      </c>
      <c r="F2" s="366" t="s">
        <v>305</v>
      </c>
      <c r="H2" s="381" t="s">
        <v>0</v>
      </c>
      <c r="I2" s="369" t="str">
        <f>+'Base Bid'!D2</f>
        <v>Goel Services, Inc.</v>
      </c>
    </row>
    <row r="3" spans="1:12" ht="20.45" customHeight="1">
      <c r="A3" s="352" t="s">
        <v>306</v>
      </c>
      <c r="B3" s="350">
        <f>'Labor Costs Worksheet'!H35</f>
        <v>47.69</v>
      </c>
      <c r="C3" s="350">
        <f>'Labor Costs Worksheet'!I35</f>
        <v>64.5</v>
      </c>
      <c r="D3" s="375" t="str">
        <f>IF(H4='Base Bid'!S5,"",IF(Project_Wage_Rate='Base Bid'!S5,"",No_Workers))</f>
        <v/>
      </c>
      <c r="E3" s="351" t="str">
        <f>IFERROR(IF(D3="","",+B3*40+(Hours_Per_week-40)*C3)*D3,"")</f>
        <v/>
      </c>
      <c r="F3" s="336" t="str">
        <f>IF(D3="","",+D3*Hours_Per_week)</f>
        <v/>
      </c>
      <c r="H3" s="757" t="s">
        <v>165</v>
      </c>
      <c r="I3" s="757"/>
      <c r="L3" s="460">
        <f>+B3</f>
        <v>47.69</v>
      </c>
    </row>
    <row r="4" spans="1:12" ht="20.45" customHeight="1">
      <c r="A4" s="352" t="s">
        <v>307</v>
      </c>
      <c r="B4" s="350">
        <f>+'Labor Costs Worksheet'!J35</f>
        <v>47.69</v>
      </c>
      <c r="C4" s="350">
        <f>+'Labor Costs Worksheet'!K35</f>
        <v>64.5</v>
      </c>
      <c r="D4" s="375">
        <f>IF(H4='Base Bid'!S5,(IF(Project_Wage_Rate='Base Bid'!S5,No_Workers,"")),"")</f>
        <v>1</v>
      </c>
      <c r="E4" s="351">
        <f>IFERROR(IF(D4="","",+B4*40+(Hours_Per_week-40)*C4)*D4,"")</f>
        <v>1907.6</v>
      </c>
      <c r="F4" s="336">
        <f>IF(D4="","",+D4*Hours_Per_week)</f>
        <v>40</v>
      </c>
      <c r="H4" s="755" t="str">
        <f>'Base Bid'!$B$8</f>
        <v>NON-SCALE - W: ($30 + F: $7.29) = Total of $37.29</v>
      </c>
      <c r="I4" s="755"/>
      <c r="L4" s="460">
        <f>+B11</f>
        <v>35.75</v>
      </c>
    </row>
    <row r="5" spans="1:12" ht="15.75">
      <c r="A5" s="352" t="s">
        <v>308</v>
      </c>
      <c r="B5" s="350">
        <f>'Labor Costs Worksheet'!L35</f>
        <v>76.680000000000007</v>
      </c>
      <c r="C5" s="350">
        <f>'Labor Costs Worksheet'!M35</f>
        <v>104.91000000000001</v>
      </c>
      <c r="D5" s="376" t="str">
        <f>IF('Base Bid'!H8&gt;5000,IF(Project_Wage_Rate='Base Bid'!S5,"",No_Foreman),"")</f>
        <v/>
      </c>
      <c r="E5" s="351" t="str">
        <f t="shared" ref="E5:E23" si="0">IFERROR(IF(D5="","",+B5*40+(Hours_Per_week-40)*C5)*D5,"")</f>
        <v/>
      </c>
      <c r="F5" s="336" t="str">
        <f t="shared" ref="F5:F15" si="1">IF(D5="","",+D5*Hours_Per_week)</f>
        <v/>
      </c>
      <c r="H5" s="756"/>
      <c r="I5" s="756"/>
      <c r="J5" s="361"/>
      <c r="L5" s="460">
        <f>+L3-L4</f>
        <v>11.939999999999998</v>
      </c>
    </row>
    <row r="6" spans="1:12" ht="25.5">
      <c r="A6" s="352" t="s">
        <v>309</v>
      </c>
      <c r="B6" s="350">
        <f>'Labor Costs Worksheet'!N35</f>
        <v>75.56</v>
      </c>
      <c r="C6" s="350">
        <f>'Labor Costs Worksheet'!O35</f>
        <v>103.79</v>
      </c>
      <c r="D6" s="376" t="str">
        <f>IFERROR(IF('Base Bid'!H8&gt;4000,IF(Project_Wage_Rate='Base Bid'!S5,"",No_Foreman),"")-D5,"")</f>
        <v/>
      </c>
      <c r="E6" s="351" t="str">
        <f t="shared" si="0"/>
        <v/>
      </c>
      <c r="F6" s="336" t="str">
        <f t="shared" si="1"/>
        <v/>
      </c>
      <c r="H6" s="381" t="str">
        <f>'Base Bid'!A5</f>
        <v>What State is this project in?</v>
      </c>
      <c r="I6" s="384" t="str">
        <f>'Base Bid'!B5</f>
        <v>DC</v>
      </c>
      <c r="J6" s="361"/>
      <c r="L6" s="461">
        <f>+L5*1950</f>
        <v>23282.999999999996</v>
      </c>
    </row>
    <row r="7" spans="1:12" ht="20.45" customHeight="1">
      <c r="A7" s="352" t="s">
        <v>310</v>
      </c>
      <c r="B7" s="350">
        <f>'Labor Costs Worksheet'!P35</f>
        <v>74.45</v>
      </c>
      <c r="C7" s="350">
        <f>'Labor Costs Worksheet'!Q35</f>
        <v>102.67</v>
      </c>
      <c r="D7" s="376" t="str">
        <f>IF('Base Bid'!H8&lt;3999,IF(Project_Wage_Rate='Base Bid'!S5,"",No_Foreman),"")</f>
        <v/>
      </c>
      <c r="E7" s="351" t="str">
        <f t="shared" si="0"/>
        <v/>
      </c>
      <c r="F7" s="336" t="str">
        <f t="shared" si="1"/>
        <v/>
      </c>
      <c r="H7" s="381" t="str">
        <f>'Base Bid'!E12</f>
        <v>Citizen Project</v>
      </c>
      <c r="I7" s="384" t="str">
        <f>'Base Bid'!F12</f>
        <v>No</v>
      </c>
      <c r="L7" s="461">
        <f>20*L6</f>
        <v>465659.99999999994</v>
      </c>
    </row>
    <row r="8" spans="1:12" ht="18.75">
      <c r="A8" s="352" t="s">
        <v>311</v>
      </c>
      <c r="B8" s="350">
        <f>'Labor Costs Worksheet'!R35</f>
        <v>50.12</v>
      </c>
      <c r="C8" s="350">
        <f>'Labor Costs Worksheet'!S35</f>
        <v>66.740000000000009</v>
      </c>
      <c r="D8" s="376">
        <f>IF(Project_Wage_Rate='Base Bid'!S5,No_Foreman,"")</f>
        <v>1</v>
      </c>
      <c r="E8" s="351">
        <f t="shared" si="0"/>
        <v>2004.8</v>
      </c>
      <c r="F8" s="336">
        <f t="shared" si="1"/>
        <v>40</v>
      </c>
      <c r="H8" s="381" t="str">
        <f>'Base Bid'!G7</f>
        <v>Number of personnel</v>
      </c>
      <c r="I8" s="384">
        <f>'Base Bid'!H7</f>
        <v>1.5</v>
      </c>
      <c r="J8" s="361"/>
    </row>
    <row r="9" spans="1:12" ht="18.75">
      <c r="A9" s="352" t="s">
        <v>312</v>
      </c>
      <c r="B9" s="350">
        <f>'Labor Costs Worksheet'!T35</f>
        <v>49</v>
      </c>
      <c r="C9" s="350">
        <f>'Labor Costs Worksheet'!U35</f>
        <v>65.62</v>
      </c>
      <c r="D9" s="376"/>
      <c r="E9" s="351" t="str">
        <f t="shared" si="0"/>
        <v/>
      </c>
      <c r="F9" s="336" t="str">
        <f t="shared" si="1"/>
        <v/>
      </c>
      <c r="H9" s="381" t="str">
        <f>'Base Bid'!E6</f>
        <v>Hours (per week)</v>
      </c>
      <c r="I9" s="384">
        <f>'Base Bid'!F6</f>
        <v>40</v>
      </c>
    </row>
    <row r="10" spans="1:12" ht="21" customHeight="1">
      <c r="A10" s="352" t="s">
        <v>313</v>
      </c>
      <c r="B10" s="350">
        <f>'Labor Costs Worksheet'!X35</f>
        <v>78.010000000000005</v>
      </c>
      <c r="C10" s="350">
        <f>'Labor Costs Worksheet'!Y35</f>
        <v>102.23</v>
      </c>
      <c r="D10" s="378"/>
      <c r="E10" s="351" t="str">
        <f t="shared" si="0"/>
        <v/>
      </c>
      <c r="F10" s="336" t="str">
        <f t="shared" si="1"/>
        <v/>
      </c>
      <c r="H10" s="381" t="s">
        <v>314</v>
      </c>
      <c r="I10" s="384">
        <f>'Base Bid'!B12</f>
        <v>2</v>
      </c>
    </row>
    <row r="11" spans="1:12" ht="18.75">
      <c r="A11" s="352" t="s">
        <v>315</v>
      </c>
      <c r="B11" s="350">
        <f>'Labor Costs Worksheet'!Z35</f>
        <v>35.75</v>
      </c>
      <c r="C11" s="350">
        <f>'Labor Costs Worksheet'!AA35</f>
        <v>46.589999999999996</v>
      </c>
      <c r="D11" s="378"/>
      <c r="E11" s="351" t="str">
        <f t="shared" si="0"/>
        <v/>
      </c>
      <c r="F11" s="336" t="str">
        <f t="shared" si="1"/>
        <v/>
      </c>
      <c r="H11" s="381" t="str">
        <f>'Base Bid'!G8</f>
        <v>Backcheck (hours)</v>
      </c>
      <c r="I11" s="384">
        <f>'Base Bid'!H8</f>
        <v>488</v>
      </c>
    </row>
    <row r="12" spans="1:12" ht="18.75">
      <c r="A12" s="352" t="s">
        <v>316</v>
      </c>
      <c r="B12" s="350">
        <f>'Labor Costs Worksheet'!AB35</f>
        <v>36.14</v>
      </c>
      <c r="C12" s="350">
        <f>'Labor Costs Worksheet'!AC35</f>
        <v>47.169999999999995</v>
      </c>
      <c r="D12" s="378"/>
      <c r="E12" s="351" t="str">
        <f t="shared" si="0"/>
        <v/>
      </c>
      <c r="F12" s="336" t="str">
        <f t="shared" si="1"/>
        <v/>
      </c>
      <c r="H12" s="381" t="str">
        <f>'Base Bid'!E13</f>
        <v>Apprenticeable job</v>
      </c>
      <c r="I12" s="384" t="str">
        <f>'Base Bid'!F13</f>
        <v>Yes</v>
      </c>
    </row>
    <row r="13" spans="1:12" ht="18.75">
      <c r="A13" s="352" t="s">
        <v>317</v>
      </c>
      <c r="B13" s="350">
        <f>'Labor Costs Worksheet'!AD35</f>
        <v>36.14</v>
      </c>
      <c r="C13" s="350">
        <f>'Labor Costs Worksheet'!AE35</f>
        <v>47.169999999999995</v>
      </c>
      <c r="D13" s="378">
        <f>No_Apprentices</f>
        <v>0</v>
      </c>
      <c r="E13" s="351">
        <f t="shared" si="0"/>
        <v>0</v>
      </c>
      <c r="F13" s="336">
        <f t="shared" si="1"/>
        <v>0</v>
      </c>
      <c r="H13" s="381"/>
      <c r="I13" s="386"/>
    </row>
    <row r="14" spans="1:12" ht="18.75">
      <c r="A14" s="352" t="s">
        <v>318</v>
      </c>
      <c r="B14" s="350">
        <f>'Labor Costs Worksheet'!AF35</f>
        <v>36.14</v>
      </c>
      <c r="C14" s="350">
        <f>'Labor Costs Worksheet'!AG35</f>
        <v>47.169999999999995</v>
      </c>
      <c r="D14" s="378"/>
      <c r="E14" s="351" t="str">
        <f t="shared" si="0"/>
        <v/>
      </c>
      <c r="F14" s="336" t="str">
        <f t="shared" si="1"/>
        <v/>
      </c>
      <c r="H14" s="422" t="str">
        <f>'Base Bid'!E8</f>
        <v>Does O/CCIP cover WC?</v>
      </c>
      <c r="I14" s="384" t="str">
        <f>'Base Bid'!F8</f>
        <v>No</v>
      </c>
    </row>
    <row r="15" spans="1:12" ht="18.75">
      <c r="A15" s="352" t="s">
        <v>319</v>
      </c>
      <c r="B15" s="350">
        <f>'Labor Costs Worksheet'!AH35</f>
        <v>36.14</v>
      </c>
      <c r="C15" s="350">
        <f>'Labor Costs Worksheet'!AI35</f>
        <v>47.169999999999995</v>
      </c>
      <c r="D15" s="378"/>
      <c r="E15" s="351" t="str">
        <f t="shared" si="0"/>
        <v/>
      </c>
      <c r="F15" s="336" t="str">
        <f t="shared" si="1"/>
        <v/>
      </c>
      <c r="H15" s="423" t="s">
        <v>320</v>
      </c>
      <c r="I15" s="384">
        <v>2.5</v>
      </c>
    </row>
    <row r="16" spans="1:12" ht="15.6" customHeight="1">
      <c r="A16" s="352" t="s">
        <v>321</v>
      </c>
      <c r="B16" s="350">
        <f>+'Labor Costs Worksheet'!AJ35</f>
        <v>36.14</v>
      </c>
      <c r="C16" s="350">
        <f>+'Labor Costs Worksheet'!AK35</f>
        <v>47.169999999999995</v>
      </c>
      <c r="D16" s="378"/>
      <c r="E16" s="351" t="str">
        <f t="shared" si="0"/>
        <v/>
      </c>
      <c r="F16" s="336"/>
    </row>
    <row r="17" spans="1:9" ht="23.25">
      <c r="A17" s="352" t="s">
        <v>322</v>
      </c>
      <c r="B17" s="350">
        <f>'Labor Costs Worksheet'!AL35</f>
        <v>37.61</v>
      </c>
      <c r="C17" s="350">
        <f>'Labor Costs Worksheet'!AM35</f>
        <v>49.379999999999995</v>
      </c>
      <c r="D17" s="378"/>
      <c r="E17" s="351" t="str">
        <f t="shared" si="0"/>
        <v/>
      </c>
      <c r="F17" s="336" t="str">
        <f t="shared" ref="F17:F23" si="2">IF(D17="","",+D17*Hours_Per_week)</f>
        <v/>
      </c>
      <c r="H17" s="367" t="s">
        <v>323</v>
      </c>
      <c r="I17" s="370">
        <v>1</v>
      </c>
    </row>
    <row r="18" spans="1:9" ht="23.25">
      <c r="A18" s="352" t="s">
        <v>324</v>
      </c>
      <c r="B18" s="350">
        <f>'Labor Costs Worksheet'!AN35</f>
        <v>40.97</v>
      </c>
      <c r="C18" s="350">
        <f>'Labor Costs Worksheet'!AO35</f>
        <v>54.419999999999995</v>
      </c>
      <c r="D18" s="378"/>
      <c r="E18" s="351" t="str">
        <f t="shared" si="0"/>
        <v/>
      </c>
      <c r="F18" s="336" t="str">
        <f t="shared" si="2"/>
        <v/>
      </c>
      <c r="H18" s="367" t="s">
        <v>325</v>
      </c>
      <c r="I18" s="371">
        <f>IF(I8=0,1,ROUND(+I8-I17-I19,0))</f>
        <v>1</v>
      </c>
    </row>
    <row r="19" spans="1:9" ht="23.25">
      <c r="A19" s="352" t="s">
        <v>326</v>
      </c>
      <c r="B19" s="350">
        <f>'Labor Costs Worksheet'!V35</f>
        <v>83.550000000000011</v>
      </c>
      <c r="C19" s="350">
        <f>'Labor Costs Worksheet'!W35</f>
        <v>107.83</v>
      </c>
      <c r="D19" s="377">
        <v>0.1</v>
      </c>
      <c r="E19" s="351">
        <f t="shared" si="0"/>
        <v>334.20000000000005</v>
      </c>
      <c r="F19" s="336">
        <f t="shared" si="2"/>
        <v>4</v>
      </c>
      <c r="H19" s="367" t="s">
        <v>327</v>
      </c>
      <c r="I19" s="372">
        <f>ROUND(+I8/(1+I15),0)</f>
        <v>0</v>
      </c>
    </row>
    <row r="20" spans="1:9" ht="15.75">
      <c r="A20" s="352" t="str">
        <f>+'Labor Costs Worksheet'!AP4</f>
        <v>Ops Manager</v>
      </c>
      <c r="B20" s="350">
        <f>'Labor Costs Worksheet'!AP35</f>
        <v>83.61</v>
      </c>
      <c r="C20" s="350">
        <f>'Labor Costs Worksheet'!AQ35</f>
        <v>107.83</v>
      </c>
      <c r="D20" s="377">
        <v>0.1</v>
      </c>
      <c r="E20" s="351">
        <f t="shared" si="0"/>
        <v>334.44000000000005</v>
      </c>
      <c r="F20" s="336">
        <f t="shared" si="2"/>
        <v>4</v>
      </c>
    </row>
    <row r="21" spans="1:9" ht="15.75">
      <c r="A21" s="352" t="s">
        <v>328</v>
      </c>
      <c r="B21" s="350">
        <f>'Labor Costs Worksheet'!AR35</f>
        <v>76.75</v>
      </c>
      <c r="C21" s="350">
        <f>'Labor Costs Worksheet'!AS35</f>
        <v>104.71000000000001</v>
      </c>
      <c r="D21" s="379">
        <v>0.05</v>
      </c>
      <c r="E21" s="351">
        <f t="shared" si="0"/>
        <v>153.5</v>
      </c>
      <c r="F21" s="336">
        <f t="shared" si="2"/>
        <v>2</v>
      </c>
    </row>
    <row r="22" spans="1:9" ht="15.75">
      <c r="A22" s="352" t="s">
        <v>329</v>
      </c>
      <c r="B22" s="350">
        <f>'Labor Costs Worksheet'!AT35</f>
        <v>41.129999999999995</v>
      </c>
      <c r="C22" s="350">
        <f>'Labor Costs Worksheet'!AU35</f>
        <v>57.94</v>
      </c>
      <c r="D22" s="379">
        <v>0.2</v>
      </c>
      <c r="E22" s="351">
        <f t="shared" si="0"/>
        <v>329.03999999999996</v>
      </c>
      <c r="F22" s="336">
        <f t="shared" si="2"/>
        <v>8</v>
      </c>
      <c r="H22" s="352" t="s">
        <v>216</v>
      </c>
      <c r="I22" s="373">
        <f>_xlfn.XLOOKUP(Project_Wage_Rate,Wage_Rate_List,Wage_Rate)</f>
        <v>30</v>
      </c>
    </row>
    <row r="23" spans="1:9" ht="15.75">
      <c r="A23" s="352" t="s">
        <v>330</v>
      </c>
      <c r="B23" s="350">
        <f>'Labor Costs Worksheet'!AV35</f>
        <v>32.76</v>
      </c>
      <c r="C23" s="350">
        <f>'Labor Costs Worksheet'!AW35</f>
        <v>44.489999999999995</v>
      </c>
      <c r="D23" s="379"/>
      <c r="E23" s="351" t="str">
        <f t="shared" si="0"/>
        <v/>
      </c>
      <c r="F23" s="336" t="str">
        <f t="shared" si="2"/>
        <v/>
      </c>
      <c r="H23" s="352" t="s">
        <v>221</v>
      </c>
      <c r="I23" s="373">
        <f>_xlfn.XLOOKUP(Project_Wage_Rate,Wage_Rate_List,Wage_Rate_Fringe)</f>
        <v>7.29</v>
      </c>
    </row>
    <row r="24" spans="1:9" ht="15.75">
      <c r="A24" s="364" t="s">
        <v>226</v>
      </c>
      <c r="B24" s="363"/>
      <c r="C24" s="363"/>
      <c r="D24" s="368">
        <f>SUM(D3:D23)</f>
        <v>2.4500000000000002</v>
      </c>
      <c r="E24" s="365">
        <f>SUM(E3:E23)</f>
        <v>5063.579999999999</v>
      </c>
      <c r="F24" s="362">
        <f>SUM(F3:F23)</f>
        <v>98</v>
      </c>
      <c r="H24" s="336" t="s">
        <v>226</v>
      </c>
      <c r="I24" s="374">
        <f>_xlfn.XLOOKUP(Project_Wage_Rate,Wage_Rate_List,Wage_Rate_Total)</f>
        <v>37.29</v>
      </c>
    </row>
    <row r="25" spans="1:9">
      <c r="F25" s="353">
        <f>ROUNDUP(+E24/F24,1)</f>
        <v>51.7</v>
      </c>
    </row>
  </sheetData>
  <mergeCells count="3">
    <mergeCell ref="A1:F1"/>
    <mergeCell ref="H4:I5"/>
    <mergeCell ref="H3:I3"/>
  </mergeCells>
  <conditionalFormatting sqref="I2">
    <cfRule type="containsText" dxfId="19" priority="1" operator="containsText" text="Goel DC, LLC">
      <formula>NOT(ISERROR(SEARCH("Goel DC, LLC",I2)))</formula>
    </cfRule>
    <cfRule type="containsText" dxfId="18" priority="2" operator="containsText" text="Delaware Cornerstone Builders, Inc.">
      <formula>NOT(ISERROR(SEARCH("Delaware Cornerstone Builders, Inc.",I2)))</formula>
    </cfRule>
    <cfRule type="containsText" dxfId="17" priority="3" operator="containsText" text="Goel Services, Inc.">
      <formula>NOT(ISERROR(SEARCH("Goel Services, Inc.",I2)))</formula>
    </cfRule>
    <cfRule type="containsText" dxfId="16" priority="4" operator="containsText" text="YES">
      <formula>NOT(ISERROR(SEARCH("YES",I2)))</formula>
    </cfRule>
  </conditionalFormatting>
  <conditionalFormatting sqref="I6:I11 I13:I15">
    <cfRule type="cellIs" dxfId="15" priority="5" operator="equal">
      <formula>"YES"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3735-0ACB-4477-803B-75FC0325548C}">
  <sheetPr>
    <tabColor rgb="FFFF0000"/>
    <pageSetUpPr fitToPage="1"/>
  </sheetPr>
  <dimension ref="A1:BZ65"/>
  <sheetViews>
    <sheetView topLeftCell="B1" zoomScale="85" zoomScaleNormal="85" workbookViewId="0">
      <pane xSplit="6" ySplit="9" topLeftCell="H14" activePane="bottomRight" state="frozenSplit"/>
      <selection pane="bottomRight" activeCell="G17" sqref="G17:G18"/>
      <selection pane="bottomLeft" activeCell="J65" sqref="J65"/>
      <selection pane="topRight" activeCell="J65" sqref="J65"/>
    </sheetView>
  </sheetViews>
  <sheetFormatPr defaultColWidth="8.85546875" defaultRowHeight="12.75" outlineLevelRow="1"/>
  <cols>
    <col min="1" max="1" width="19.28515625" style="155" hidden="1" customWidth="1"/>
    <col min="2" max="2" width="14.85546875" style="155" customWidth="1"/>
    <col min="3" max="3" width="22.28515625" style="155" customWidth="1"/>
    <col min="4" max="4" width="7.7109375" style="155" customWidth="1"/>
    <col min="5" max="5" width="19.28515625" style="155" customWidth="1"/>
    <col min="6" max="6" width="15.5703125" style="155" customWidth="1"/>
    <col min="7" max="7" width="8.85546875" style="180"/>
    <col min="8" max="49" width="11.7109375" style="155" customWidth="1"/>
    <col min="50" max="50" width="16.5703125" style="155" bestFit="1" customWidth="1"/>
    <col min="51" max="51" width="24.7109375" style="233" customWidth="1"/>
    <col min="52" max="52" width="8.85546875" style="155"/>
    <col min="53" max="53" width="14.85546875" style="155" customWidth="1"/>
    <col min="54" max="55" width="13.28515625" style="155" customWidth="1"/>
    <col min="56" max="56" width="13.28515625" style="232" customWidth="1"/>
    <col min="57" max="60" width="8.85546875" style="155"/>
    <col min="61" max="61" width="23.85546875" style="155" customWidth="1"/>
    <col min="62" max="62" width="8.85546875" style="155"/>
    <col min="63" max="63" width="8.7109375" style="155" customWidth="1"/>
    <col min="64" max="16384" width="8.85546875" style="155"/>
  </cols>
  <sheetData>
    <row r="1" spans="1:78" s="297" customFormat="1" ht="33.75" customHeight="1" thickBot="1">
      <c r="A1" s="309"/>
      <c r="B1" s="844" t="str">
        <f>CONCATENATE(_xlfn.XLOOKUP('Labor Costs'!I$24,Wage_Rate_Total,Wage_Rate_Year)," - CBA Wage Rate")</f>
        <v>NON-SCALE - CBA Wage Rate</v>
      </c>
      <c r="C1" s="845"/>
      <c r="D1" s="322"/>
      <c r="E1" s="788" t="s">
        <v>331</v>
      </c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BC1" s="323"/>
      <c r="BE1" s="298"/>
      <c r="BF1" s="307"/>
      <c r="BH1" s="155"/>
      <c r="BI1" s="155"/>
      <c r="BJ1" s="155"/>
      <c r="BK1" s="786" t="s">
        <v>332</v>
      </c>
      <c r="BL1" s="783"/>
      <c r="BM1" s="782" t="s">
        <v>308</v>
      </c>
      <c r="BN1" s="783"/>
      <c r="BO1" s="782" t="s">
        <v>326</v>
      </c>
      <c r="BP1" s="783"/>
      <c r="BQ1" s="782" t="s">
        <v>313</v>
      </c>
      <c r="BR1" s="783"/>
      <c r="BS1" s="782" t="s">
        <v>333</v>
      </c>
      <c r="BT1" s="783"/>
      <c r="BU1" s="782" t="s">
        <v>328</v>
      </c>
      <c r="BV1" s="783"/>
      <c r="BW1" s="782" t="s">
        <v>329</v>
      </c>
      <c r="BX1" s="783"/>
      <c r="BY1" s="782" t="s">
        <v>330</v>
      </c>
      <c r="BZ1" s="787"/>
    </row>
    <row r="2" spans="1:78" s="297" customFormat="1" ht="33.75" customHeight="1">
      <c r="A2" s="309"/>
      <c r="B2" s="327" t="s">
        <v>334</v>
      </c>
      <c r="C2" s="319">
        <f>_xlfn.XLOOKUP(Project_Wage_Rate,Wage_Rate_List,Wage_As_of)</f>
        <v>46084</v>
      </c>
      <c r="D2" s="318"/>
      <c r="E2" s="788"/>
      <c r="F2" s="788"/>
      <c r="G2" s="788"/>
      <c r="H2" s="788"/>
      <c r="I2" s="788"/>
      <c r="J2" s="788"/>
      <c r="K2" s="788"/>
      <c r="L2" s="788"/>
      <c r="M2" s="788"/>
      <c r="N2" s="788"/>
      <c r="O2" s="788"/>
      <c r="P2" s="788"/>
      <c r="Q2" s="788"/>
      <c r="R2" s="788"/>
      <c r="S2" s="788"/>
      <c r="T2" s="788"/>
      <c r="U2" s="788"/>
      <c r="V2" s="788"/>
      <c r="W2" s="788"/>
      <c r="X2" s="788"/>
      <c r="Y2" s="788"/>
      <c r="Z2" s="788"/>
      <c r="AA2" s="788"/>
      <c r="AB2" s="788"/>
      <c r="AC2" s="788"/>
      <c r="AD2" s="788"/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BC2" s="324"/>
      <c r="BE2" s="298"/>
      <c r="BF2" s="315" t="s">
        <v>163</v>
      </c>
      <c r="BH2" s="314" t="s">
        <v>335</v>
      </c>
      <c r="BI2" s="313"/>
      <c r="BJ2" s="312" t="s">
        <v>305</v>
      </c>
      <c r="BK2" s="789">
        <v>2080</v>
      </c>
      <c r="BL2" s="790"/>
      <c r="BM2" s="789">
        <v>2080</v>
      </c>
      <c r="BN2" s="790"/>
      <c r="BO2" s="789">
        <v>2080</v>
      </c>
      <c r="BP2" s="790"/>
      <c r="BQ2" s="789">
        <v>2080</v>
      </c>
      <c r="BR2" s="790"/>
      <c r="BS2" s="789">
        <v>2080</v>
      </c>
      <c r="BT2" s="790"/>
      <c r="BU2" s="789">
        <v>2080</v>
      </c>
      <c r="BV2" s="790"/>
      <c r="BW2" s="789">
        <v>2080</v>
      </c>
      <c r="BX2" s="800"/>
      <c r="BY2" s="789">
        <v>2080</v>
      </c>
      <c r="BZ2" s="800"/>
    </row>
    <row r="3" spans="1:78" s="297" customFormat="1" ht="33.75" customHeight="1" thickBot="1">
      <c r="A3" s="309"/>
      <c r="B3" s="311" t="s">
        <v>153</v>
      </c>
      <c r="C3" s="356">
        <f>'Labor Costs'!I22</f>
        <v>30</v>
      </c>
      <c r="D3" s="318"/>
      <c r="BC3" s="325"/>
      <c r="BE3" s="298"/>
      <c r="BF3" s="307" t="s">
        <v>336</v>
      </c>
      <c r="BH3" s="846" t="s">
        <v>337</v>
      </c>
      <c r="BI3" s="847"/>
      <c r="BJ3" s="310" t="s">
        <v>305</v>
      </c>
      <c r="BK3" s="794">
        <v>-72</v>
      </c>
      <c r="BL3" s="795"/>
      <c r="BM3" s="794">
        <v>-72</v>
      </c>
      <c r="BN3" s="795"/>
      <c r="BO3" s="794">
        <v>-72</v>
      </c>
      <c r="BP3" s="795"/>
      <c r="BQ3" s="794">
        <v>-72</v>
      </c>
      <c r="BR3" s="795"/>
      <c r="BS3" s="794">
        <v>-72</v>
      </c>
      <c r="BT3" s="795"/>
      <c r="BU3" s="794">
        <v>-72</v>
      </c>
      <c r="BV3" s="795"/>
      <c r="BW3" s="794">
        <v>-72</v>
      </c>
      <c r="BX3" s="801"/>
      <c r="BY3" s="794">
        <v>-72</v>
      </c>
      <c r="BZ3" s="801"/>
    </row>
    <row r="4" spans="1:78" s="297" customFormat="1" ht="33.75" customHeight="1" thickBot="1">
      <c r="A4" s="309"/>
      <c r="B4" s="308" t="s">
        <v>221</v>
      </c>
      <c r="C4" s="357">
        <f>'Labor Costs'!I23</f>
        <v>7.29</v>
      </c>
      <c r="D4" s="318"/>
      <c r="E4" s="334" t="s">
        <v>338</v>
      </c>
      <c r="F4" s="339">
        <v>7.29</v>
      </c>
      <c r="G4" s="303"/>
      <c r="H4" s="771" t="s">
        <v>332</v>
      </c>
      <c r="I4" s="772"/>
      <c r="J4" s="771" t="s">
        <v>339</v>
      </c>
      <c r="K4" s="772"/>
      <c r="L4" s="771" t="s">
        <v>308</v>
      </c>
      <c r="M4" s="772"/>
      <c r="N4" s="771" t="s">
        <v>309</v>
      </c>
      <c r="O4" s="772"/>
      <c r="P4" s="771" t="s">
        <v>310</v>
      </c>
      <c r="Q4" s="772"/>
      <c r="R4" s="771" t="s">
        <v>311</v>
      </c>
      <c r="S4" s="772"/>
      <c r="T4" s="771" t="s">
        <v>312</v>
      </c>
      <c r="U4" s="772"/>
      <c r="V4" s="771" t="s">
        <v>326</v>
      </c>
      <c r="W4" s="772"/>
      <c r="X4" s="852" t="s">
        <v>313</v>
      </c>
      <c r="Y4" s="853"/>
      <c r="Z4" s="771" t="s">
        <v>315</v>
      </c>
      <c r="AA4" s="772"/>
      <c r="AB4" s="771" t="s">
        <v>316</v>
      </c>
      <c r="AC4" s="772"/>
      <c r="AD4" s="771" t="s">
        <v>317</v>
      </c>
      <c r="AE4" s="772"/>
      <c r="AF4" s="771" t="s">
        <v>318</v>
      </c>
      <c r="AG4" s="772"/>
      <c r="AH4" s="771" t="s">
        <v>319</v>
      </c>
      <c r="AI4" s="772"/>
      <c r="AJ4" s="771" t="s">
        <v>321</v>
      </c>
      <c r="AK4" s="772"/>
      <c r="AL4" s="771" t="s">
        <v>322</v>
      </c>
      <c r="AM4" s="772"/>
      <c r="AN4" s="771" t="s">
        <v>324</v>
      </c>
      <c r="AO4" s="772"/>
      <c r="AP4" s="850" t="s">
        <v>340</v>
      </c>
      <c r="AQ4" s="851"/>
      <c r="AR4" s="850" t="s">
        <v>328</v>
      </c>
      <c r="AS4" s="851"/>
      <c r="AT4" s="850" t="s">
        <v>329</v>
      </c>
      <c r="AU4" s="851"/>
      <c r="AV4" s="771" t="s">
        <v>330</v>
      </c>
      <c r="AW4" s="851"/>
      <c r="BC4" s="325"/>
      <c r="BE4" s="298"/>
      <c r="BF4" s="307" t="s">
        <v>341</v>
      </c>
      <c r="BH4" s="854" t="s">
        <v>342</v>
      </c>
      <c r="BI4" s="855"/>
      <c r="BJ4" s="306" t="s">
        <v>305</v>
      </c>
      <c r="BK4" s="796">
        <v>-56</v>
      </c>
      <c r="BL4" s="797"/>
      <c r="BM4" s="796">
        <v>-56</v>
      </c>
      <c r="BN4" s="797"/>
      <c r="BO4" s="796">
        <v>-56</v>
      </c>
      <c r="BP4" s="797"/>
      <c r="BQ4" s="796">
        <v>-80</v>
      </c>
      <c r="BR4" s="797"/>
      <c r="BS4" s="796">
        <v>-80</v>
      </c>
      <c r="BT4" s="797"/>
      <c r="BU4" s="796">
        <v>-80</v>
      </c>
      <c r="BV4" s="797"/>
      <c r="BW4" s="796">
        <v>-80</v>
      </c>
      <c r="BX4" s="848"/>
      <c r="BY4" s="796">
        <v>-80</v>
      </c>
      <c r="BZ4" s="848"/>
    </row>
    <row r="5" spans="1:78" s="297" customFormat="1" ht="33.75" customHeight="1" thickBot="1">
      <c r="A5" s="309"/>
      <c r="B5" s="305" t="s">
        <v>343</v>
      </c>
      <c r="C5" s="358">
        <f>'Labor Costs'!I24</f>
        <v>37.29</v>
      </c>
      <c r="D5" s="318"/>
      <c r="E5" s="304"/>
      <c r="F5" s="304"/>
      <c r="G5" s="303"/>
      <c r="H5" s="780">
        <v>1</v>
      </c>
      <c r="I5" s="781"/>
      <c r="J5" s="780">
        <v>1</v>
      </c>
      <c r="K5" s="781"/>
      <c r="L5" s="780">
        <v>1</v>
      </c>
      <c r="M5" s="781"/>
      <c r="N5" s="780">
        <v>1</v>
      </c>
      <c r="O5" s="781"/>
      <c r="P5" s="780">
        <v>1</v>
      </c>
      <c r="Q5" s="781"/>
      <c r="R5" s="780">
        <v>1</v>
      </c>
      <c r="S5" s="781"/>
      <c r="T5" s="780">
        <v>1</v>
      </c>
      <c r="U5" s="781"/>
      <c r="V5" s="780">
        <v>1</v>
      </c>
      <c r="W5" s="781"/>
      <c r="X5" s="780">
        <v>1</v>
      </c>
      <c r="Y5" s="781"/>
      <c r="Z5" s="780">
        <v>0.4</v>
      </c>
      <c r="AA5" s="781"/>
      <c r="AB5" s="780">
        <v>0.45</v>
      </c>
      <c r="AC5" s="781"/>
      <c r="AD5" s="780">
        <v>0.5</v>
      </c>
      <c r="AE5" s="781"/>
      <c r="AF5" s="780">
        <v>0.55000000000000004</v>
      </c>
      <c r="AG5" s="781"/>
      <c r="AH5" s="780">
        <v>0.6</v>
      </c>
      <c r="AI5" s="781"/>
      <c r="AJ5" s="780">
        <v>0.65</v>
      </c>
      <c r="AK5" s="781"/>
      <c r="AL5" s="780">
        <v>0.7</v>
      </c>
      <c r="AM5" s="781"/>
      <c r="AN5" s="780">
        <v>0.8</v>
      </c>
      <c r="AO5" s="781"/>
      <c r="AP5" s="780">
        <v>1</v>
      </c>
      <c r="AQ5" s="781"/>
      <c r="AR5" s="780">
        <v>1</v>
      </c>
      <c r="AS5" s="781"/>
      <c r="AT5" s="780">
        <v>1</v>
      </c>
      <c r="AU5" s="781"/>
      <c r="AV5" s="780">
        <v>1</v>
      </c>
      <c r="AW5" s="781"/>
      <c r="BC5" s="325"/>
      <c r="BE5" s="298"/>
      <c r="BH5" s="328"/>
      <c r="BI5" s="329"/>
      <c r="BJ5" s="330"/>
      <c r="BK5" s="331"/>
      <c r="BL5" s="332"/>
      <c r="BM5" s="331"/>
      <c r="BN5" s="332"/>
      <c r="BO5" s="331"/>
      <c r="BP5" s="332"/>
      <c r="BQ5" s="331"/>
      <c r="BR5" s="332"/>
      <c r="BS5" s="331"/>
      <c r="BT5" s="332"/>
      <c r="BU5" s="331"/>
      <c r="BV5" s="332"/>
      <c r="BW5" s="331"/>
      <c r="BX5" s="333"/>
      <c r="BY5" s="331"/>
      <c r="BZ5" s="333"/>
    </row>
    <row r="6" spans="1:78" ht="19.899999999999999" customHeight="1" thickBot="1">
      <c r="A6" s="289"/>
      <c r="D6" s="304"/>
      <c r="E6" s="304"/>
      <c r="F6" s="304"/>
      <c r="G6" s="303"/>
      <c r="H6" s="300" t="s">
        <v>301</v>
      </c>
      <c r="I6" s="302" t="s">
        <v>302</v>
      </c>
      <c r="J6" s="300" t="s">
        <v>301</v>
      </c>
      <c r="K6" s="302" t="s">
        <v>302</v>
      </c>
      <c r="L6" s="300" t="s">
        <v>301</v>
      </c>
      <c r="M6" s="302" t="s">
        <v>302</v>
      </c>
      <c r="N6" s="300" t="s">
        <v>301</v>
      </c>
      <c r="O6" s="302" t="s">
        <v>302</v>
      </c>
      <c r="P6" s="300" t="s">
        <v>301</v>
      </c>
      <c r="Q6" s="302" t="s">
        <v>302</v>
      </c>
      <c r="R6" s="300" t="s">
        <v>301</v>
      </c>
      <c r="S6" s="302" t="s">
        <v>302</v>
      </c>
      <c r="T6" s="300" t="s">
        <v>301</v>
      </c>
      <c r="U6" s="302" t="s">
        <v>302</v>
      </c>
      <c r="V6" s="300" t="s">
        <v>301</v>
      </c>
      <c r="W6" s="302" t="s">
        <v>302</v>
      </c>
      <c r="X6" s="300" t="s">
        <v>301</v>
      </c>
      <c r="Y6" s="299" t="s">
        <v>302</v>
      </c>
      <c r="Z6" s="300" t="s">
        <v>301</v>
      </c>
      <c r="AA6" s="302" t="s">
        <v>302</v>
      </c>
      <c r="AB6" s="300" t="s">
        <v>301</v>
      </c>
      <c r="AC6" s="302" t="s">
        <v>302</v>
      </c>
      <c r="AD6" s="300" t="s">
        <v>301</v>
      </c>
      <c r="AE6" s="302" t="s">
        <v>302</v>
      </c>
      <c r="AF6" s="300" t="s">
        <v>301</v>
      </c>
      <c r="AG6" s="302" t="s">
        <v>302</v>
      </c>
      <c r="AH6" s="300" t="s">
        <v>301</v>
      </c>
      <c r="AI6" s="302" t="s">
        <v>302</v>
      </c>
      <c r="AJ6" s="300" t="s">
        <v>301</v>
      </c>
      <c r="AK6" s="302" t="s">
        <v>302</v>
      </c>
      <c r="AL6" s="300" t="s">
        <v>301</v>
      </c>
      <c r="AM6" s="302" t="s">
        <v>302</v>
      </c>
      <c r="AN6" s="300" t="s">
        <v>301</v>
      </c>
      <c r="AO6" s="302" t="s">
        <v>302</v>
      </c>
      <c r="AP6" s="301" t="s">
        <v>301</v>
      </c>
      <c r="AQ6" s="299" t="s">
        <v>302</v>
      </c>
      <c r="AR6" s="301" t="s">
        <v>301</v>
      </c>
      <c r="AS6" s="299" t="s">
        <v>302</v>
      </c>
      <c r="AT6" s="301" t="s">
        <v>301</v>
      </c>
      <c r="AU6" s="299" t="s">
        <v>302</v>
      </c>
      <c r="AV6" s="300" t="s">
        <v>301</v>
      </c>
      <c r="AW6" s="299" t="s">
        <v>302</v>
      </c>
      <c r="AY6" s="155"/>
      <c r="BC6" s="325"/>
      <c r="BD6" s="297"/>
      <c r="BE6" s="298"/>
      <c r="BF6" s="297"/>
      <c r="BH6" s="296" t="s">
        <v>344</v>
      </c>
      <c r="BI6" s="295"/>
      <c r="BJ6" s="294" t="s">
        <v>305</v>
      </c>
      <c r="BK6" s="798">
        <f>SUM(BK2:BK4)</f>
        <v>1952</v>
      </c>
      <c r="BL6" s="799"/>
      <c r="BM6" s="798">
        <f>SUM(BM2:BM4)</f>
        <v>1952</v>
      </c>
      <c r="BN6" s="799"/>
      <c r="BO6" s="798">
        <f>SUM(BO2:BO4)</f>
        <v>1952</v>
      </c>
      <c r="BP6" s="799"/>
      <c r="BQ6" s="798">
        <f>SUM(BQ2:BQ4)</f>
        <v>1928</v>
      </c>
      <c r="BR6" s="799"/>
      <c r="BS6" s="798">
        <f>SUM(BS2:BS4)</f>
        <v>1928</v>
      </c>
      <c r="BT6" s="799"/>
      <c r="BU6" s="798">
        <f>SUM(BU2:BU4)</f>
        <v>1928</v>
      </c>
      <c r="BV6" s="799"/>
      <c r="BW6" s="798">
        <f>SUM(BW2:BW4)</f>
        <v>1928</v>
      </c>
      <c r="BX6" s="849"/>
      <c r="BY6" s="798">
        <f>SUM(BY2:BY4)</f>
        <v>1928</v>
      </c>
      <c r="BZ6" s="849"/>
    </row>
    <row r="7" spans="1:78" ht="32.25" customHeight="1" thickBot="1">
      <c r="A7" s="289"/>
      <c r="B7" s="804" t="str">
        <f>'Base Bid'!$B$8</f>
        <v>NON-SCALE - W: ($30 + F: $7.29) = Total of $37.29</v>
      </c>
      <c r="C7" s="805"/>
      <c r="D7" s="805"/>
      <c r="E7" s="805"/>
      <c r="F7" s="805"/>
      <c r="G7" s="806"/>
      <c r="H7" s="291">
        <f t="shared" ref="H7:AW7" si="0">+H8+H25</f>
        <v>37.29</v>
      </c>
      <c r="I7" s="293">
        <f t="shared" si="0"/>
        <v>52.29</v>
      </c>
      <c r="J7" s="291">
        <f t="shared" ref="J7" si="1">+J8+J25</f>
        <v>37.29</v>
      </c>
      <c r="K7" s="293">
        <f t="shared" ref="K7" si="2">+K8+K25</f>
        <v>52.29</v>
      </c>
      <c r="L7" s="291">
        <f t="shared" si="0"/>
        <v>63</v>
      </c>
      <c r="M7" s="293">
        <f t="shared" si="0"/>
        <v>88.355000000000004</v>
      </c>
      <c r="N7" s="291">
        <f t="shared" si="0"/>
        <v>62</v>
      </c>
      <c r="O7" s="293">
        <f t="shared" si="0"/>
        <v>87.355000000000004</v>
      </c>
      <c r="P7" s="291">
        <f t="shared" si="0"/>
        <v>61</v>
      </c>
      <c r="Q7" s="293">
        <f t="shared" si="0"/>
        <v>86.355000000000004</v>
      </c>
      <c r="R7" s="291">
        <f t="shared" si="0"/>
        <v>39.29</v>
      </c>
      <c r="S7" s="293">
        <f t="shared" si="0"/>
        <v>54.29</v>
      </c>
      <c r="T7" s="291">
        <f t="shared" si="0"/>
        <v>38.29</v>
      </c>
      <c r="U7" s="293">
        <f t="shared" si="0"/>
        <v>53.29</v>
      </c>
      <c r="V7" s="291">
        <f t="shared" si="0"/>
        <v>68</v>
      </c>
      <c r="W7" s="293">
        <f t="shared" si="0"/>
        <v>94.115650000000002</v>
      </c>
      <c r="X7" s="291">
        <f t="shared" si="0"/>
        <v>63</v>
      </c>
      <c r="Y7" s="290">
        <f t="shared" si="0"/>
        <v>89.115650000000002</v>
      </c>
      <c r="Z7" s="291">
        <f t="shared" si="0"/>
        <v>26.63</v>
      </c>
      <c r="AA7" s="293">
        <f t="shared" si="0"/>
        <v>36.299999999999997</v>
      </c>
      <c r="AB7" s="291">
        <f t="shared" si="0"/>
        <v>26.979119170984454</v>
      </c>
      <c r="AC7" s="293">
        <f t="shared" si="0"/>
        <v>36.823678756476681</v>
      </c>
      <c r="AD7" s="291">
        <f t="shared" si="0"/>
        <v>26.979119170984454</v>
      </c>
      <c r="AE7" s="293">
        <f t="shared" si="0"/>
        <v>36.823678756476681</v>
      </c>
      <c r="AF7" s="291">
        <f t="shared" si="0"/>
        <v>26.979119170984454</v>
      </c>
      <c r="AG7" s="293">
        <f t="shared" si="0"/>
        <v>36.823678756476681</v>
      </c>
      <c r="AH7" s="291">
        <f t="shared" si="0"/>
        <v>26.979119170984454</v>
      </c>
      <c r="AI7" s="293">
        <f t="shared" si="0"/>
        <v>36.823678756476681</v>
      </c>
      <c r="AJ7" s="291">
        <f t="shared" si="0"/>
        <v>26.979119170984454</v>
      </c>
      <c r="AK7" s="293">
        <f t="shared" si="0"/>
        <v>36.823678756476681</v>
      </c>
      <c r="AL7" s="291">
        <f t="shared" si="0"/>
        <v>28.29</v>
      </c>
      <c r="AM7" s="293">
        <f t="shared" si="0"/>
        <v>38.79</v>
      </c>
      <c r="AN7" s="291">
        <f t="shared" si="0"/>
        <v>31.29</v>
      </c>
      <c r="AO7" s="293">
        <f t="shared" si="0"/>
        <v>43.29</v>
      </c>
      <c r="AP7" s="292">
        <f t="shared" si="0"/>
        <v>68</v>
      </c>
      <c r="AQ7" s="290">
        <f t="shared" si="0"/>
        <v>94.115650000000002</v>
      </c>
      <c r="AR7" s="292">
        <f t="shared" si="0"/>
        <v>68</v>
      </c>
      <c r="AS7" s="290">
        <f t="shared" si="0"/>
        <v>94.115650000000002</v>
      </c>
      <c r="AT7" s="292">
        <f t="shared" si="0"/>
        <v>37.29</v>
      </c>
      <c r="AU7" s="290">
        <f t="shared" si="0"/>
        <v>52.29</v>
      </c>
      <c r="AV7" s="291">
        <f t="shared" si="0"/>
        <v>29.29</v>
      </c>
      <c r="AW7" s="290">
        <f t="shared" si="0"/>
        <v>40.29</v>
      </c>
      <c r="AY7" s="155"/>
      <c r="BC7" s="325"/>
      <c r="BD7" s="155"/>
      <c r="BE7" s="232"/>
      <c r="BH7" s="856"/>
      <c r="BI7" s="857"/>
      <c r="BJ7" s="857"/>
      <c r="BK7" s="857"/>
      <c r="BL7" s="857"/>
      <c r="BM7" s="857"/>
      <c r="BN7" s="857"/>
      <c r="BO7" s="857"/>
      <c r="BP7" s="857"/>
      <c r="BQ7" s="857"/>
      <c r="BR7" s="857"/>
      <c r="BS7" s="857"/>
      <c r="BT7" s="857"/>
      <c r="BU7" s="857"/>
      <c r="BV7" s="857"/>
      <c r="BW7" s="857"/>
      <c r="BX7" s="857"/>
      <c r="BY7" s="857"/>
      <c r="BZ7" s="858"/>
    </row>
    <row r="8" spans="1:78" ht="32.25" customHeight="1" thickBot="1">
      <c r="A8" s="289"/>
      <c r="B8" s="811" t="s">
        <v>345</v>
      </c>
      <c r="C8" s="812"/>
      <c r="D8" s="812"/>
      <c r="E8" s="812"/>
      <c r="F8" s="812"/>
      <c r="G8" s="813"/>
      <c r="H8" s="271">
        <f t="shared" ref="H8:AW8" si="3">SUM(H9:H11)</f>
        <v>30</v>
      </c>
      <c r="I8" s="273">
        <f t="shared" si="3"/>
        <v>45</v>
      </c>
      <c r="J8" s="271">
        <f t="shared" ref="J8" si="4">SUM(J9:J11)</f>
        <v>30</v>
      </c>
      <c r="K8" s="273">
        <f t="shared" ref="K8" si="5">SUM(K9:K11)</f>
        <v>45</v>
      </c>
      <c r="L8" s="271">
        <f t="shared" si="3"/>
        <v>55.71</v>
      </c>
      <c r="M8" s="273">
        <f t="shared" si="3"/>
        <v>81.064999999999998</v>
      </c>
      <c r="N8" s="271">
        <f t="shared" si="3"/>
        <v>54.71</v>
      </c>
      <c r="O8" s="273">
        <f t="shared" si="3"/>
        <v>80.064999999999998</v>
      </c>
      <c r="P8" s="271">
        <f t="shared" si="3"/>
        <v>53.71</v>
      </c>
      <c r="Q8" s="273">
        <f t="shared" si="3"/>
        <v>79.064999999999998</v>
      </c>
      <c r="R8" s="271">
        <f t="shared" si="3"/>
        <v>32</v>
      </c>
      <c r="S8" s="273">
        <f t="shared" si="3"/>
        <v>47</v>
      </c>
      <c r="T8" s="271">
        <f t="shared" si="3"/>
        <v>31</v>
      </c>
      <c r="U8" s="273">
        <f t="shared" si="3"/>
        <v>46</v>
      </c>
      <c r="V8" s="271">
        <f t="shared" si="3"/>
        <v>60.71</v>
      </c>
      <c r="W8" s="273">
        <f t="shared" si="3"/>
        <v>86.064999999999998</v>
      </c>
      <c r="X8" s="271">
        <f t="shared" si="3"/>
        <v>55.71</v>
      </c>
      <c r="Y8" s="270">
        <f t="shared" si="3"/>
        <v>81.064999999999998</v>
      </c>
      <c r="Z8" s="271">
        <f t="shared" si="3"/>
        <v>19.34</v>
      </c>
      <c r="AA8" s="273">
        <f t="shared" si="3"/>
        <v>29.009999999999998</v>
      </c>
      <c r="AB8" s="271">
        <f t="shared" si="3"/>
        <v>19.689119170984455</v>
      </c>
      <c r="AC8" s="273">
        <f t="shared" si="3"/>
        <v>29.533678756476682</v>
      </c>
      <c r="AD8" s="271">
        <f t="shared" si="3"/>
        <v>19.689119170984455</v>
      </c>
      <c r="AE8" s="273">
        <f t="shared" si="3"/>
        <v>29.533678756476682</v>
      </c>
      <c r="AF8" s="271">
        <f t="shared" si="3"/>
        <v>19.689119170984455</v>
      </c>
      <c r="AG8" s="273">
        <f t="shared" si="3"/>
        <v>29.533678756476682</v>
      </c>
      <c r="AH8" s="271">
        <f t="shared" si="3"/>
        <v>19.689119170984455</v>
      </c>
      <c r="AI8" s="273">
        <f t="shared" si="3"/>
        <v>29.533678756476682</v>
      </c>
      <c r="AJ8" s="271">
        <f t="shared" si="3"/>
        <v>19.689119170984455</v>
      </c>
      <c r="AK8" s="273">
        <f t="shared" si="3"/>
        <v>29.533678756476682</v>
      </c>
      <c r="AL8" s="271">
        <f t="shared" si="3"/>
        <v>21</v>
      </c>
      <c r="AM8" s="273">
        <f t="shared" si="3"/>
        <v>31.5</v>
      </c>
      <c r="AN8" s="271">
        <f t="shared" si="3"/>
        <v>24</v>
      </c>
      <c r="AO8" s="273">
        <f t="shared" si="3"/>
        <v>36</v>
      </c>
      <c r="AP8" s="272">
        <f t="shared" si="3"/>
        <v>60.71</v>
      </c>
      <c r="AQ8" s="270">
        <f t="shared" si="3"/>
        <v>86.064999999999998</v>
      </c>
      <c r="AR8" s="272">
        <f t="shared" si="3"/>
        <v>60.71</v>
      </c>
      <c r="AS8" s="270">
        <f t="shared" si="3"/>
        <v>86.064999999999998</v>
      </c>
      <c r="AT8" s="272">
        <f t="shared" si="3"/>
        <v>30</v>
      </c>
      <c r="AU8" s="270">
        <f t="shared" si="3"/>
        <v>45</v>
      </c>
      <c r="AV8" s="271">
        <f t="shared" si="3"/>
        <v>22</v>
      </c>
      <c r="AW8" s="270">
        <f t="shared" si="3"/>
        <v>33</v>
      </c>
      <c r="AY8" s="155"/>
      <c r="BC8" s="325"/>
      <c r="BD8" s="155"/>
      <c r="BE8" s="232"/>
    </row>
    <row r="9" spans="1:78" ht="32.25" customHeight="1">
      <c r="A9" s="289"/>
      <c r="B9" s="841" t="s">
        <v>346</v>
      </c>
      <c r="C9" s="842"/>
      <c r="D9" s="842"/>
      <c r="E9" s="842"/>
      <c r="F9" s="842"/>
      <c r="G9" s="843"/>
      <c r="H9" s="542">
        <f>+'Labor Costs'!$I$22</f>
        <v>30</v>
      </c>
      <c r="I9" s="540">
        <f>+H9*1.5</f>
        <v>45</v>
      </c>
      <c r="J9" s="542">
        <f>+'Base Bid'!N5</f>
        <v>30</v>
      </c>
      <c r="K9" s="540">
        <f>+J9*1.5</f>
        <v>45</v>
      </c>
      <c r="L9" s="542">
        <f>IF(IF((Project_wage*L5+7.29)&gt;26.96,Project_wage*L5,19.34)&lt;Base_Rate_Wage,Base_Rate_Wage,IF((Project_wage*L5+7.29)&gt;26.96,Project_wage*L5,19.34))</f>
        <v>50.71</v>
      </c>
      <c r="M9" s="540">
        <f>+L9*1.5</f>
        <v>76.064999999999998</v>
      </c>
      <c r="N9" s="542">
        <f>IF(IF((Project_wage*N5+7.29)&gt;26.96,Project_wage*N5,19.34)&lt;Base_Rate_Wage,Base_Rate_Wage,IF((Project_wage*N5+7.29)&gt;26.96,Project_wage*N5,19.34))</f>
        <v>50.71</v>
      </c>
      <c r="O9" s="540">
        <f>+N9*1.5</f>
        <v>76.064999999999998</v>
      </c>
      <c r="P9" s="542">
        <f>IF(IF((Project_wage*P5+7.29)&gt;26.96,Project_wage*P5,19.34)&lt;Base_Rate_Wage,Base_Rate_Wage,IF((Project_wage*P5+7.29)&gt;26.96,Project_wage*P5,19.34))</f>
        <v>50.71</v>
      </c>
      <c r="Q9" s="540">
        <f>+P9*1.5</f>
        <v>76.064999999999998</v>
      </c>
      <c r="R9" s="542">
        <f>IF((Project_wage*R5+7.29)&gt;26.96,Project_wage*R5,19.34)</f>
        <v>30</v>
      </c>
      <c r="S9" s="540">
        <f>+R9*1.5</f>
        <v>45</v>
      </c>
      <c r="T9" s="542">
        <f>IF((Project_wage*T5+7.29)&gt;26.96,Project_wage*T5,19.34)</f>
        <v>30</v>
      </c>
      <c r="U9" s="540">
        <f>+T9*1.5</f>
        <v>45</v>
      </c>
      <c r="V9" s="542">
        <f>IF(IF((Project_wage*V5+7.29)&gt;26.96,Project_wage*V5,19.34)&lt;Base_Rate_Wage,Base_Rate_Wage,IF((Project_wage*V5+7.29)&gt;26.96,Project_wage*V5,19.34))</f>
        <v>50.71</v>
      </c>
      <c r="W9" s="540">
        <f>+V9*1.5</f>
        <v>76.064999999999998</v>
      </c>
      <c r="X9" s="542">
        <f>IF(IF((Project_wage*X5+7.29)&gt;26.96,Project_wage*X5,19.34)&lt;Base_Rate_Wage,Base_Rate_Wage,IF((Project_wage*X5+7.29)&gt;26.96,Project_wage*X5,19.34))</f>
        <v>50.71</v>
      </c>
      <c r="Y9" s="541">
        <f>+X9*1.5</f>
        <v>76.064999999999998</v>
      </c>
      <c r="Z9" s="542">
        <f>IF((Project_wage*Z5+7.29)&gt;26.96,Project_wage*Z5,19.34)</f>
        <v>19.34</v>
      </c>
      <c r="AA9" s="540">
        <f>+Z9*1.5</f>
        <v>29.009999999999998</v>
      </c>
      <c r="AB9" s="542">
        <f>IF((Project_wage*AB$5+Wage_CBA_Fringe)&gt;(19/0.965+Wage_CBA_Fringe),Project_wage*AB$5,19/0.965)</f>
        <v>19.689119170984455</v>
      </c>
      <c r="AC9" s="540">
        <f>+AB9*1.5</f>
        <v>29.533678756476682</v>
      </c>
      <c r="AD9" s="542">
        <f>IF((Project_wage*AD$5+Wage_CBA_Fringe)&gt;(19/0.965+Wage_CBA_Fringe),Project_wage*AD$5,19/0.965)</f>
        <v>19.689119170984455</v>
      </c>
      <c r="AE9" s="540">
        <f>+AD9*1.5</f>
        <v>29.533678756476682</v>
      </c>
      <c r="AF9" s="542">
        <f>IF((Project_wage*AF$5+Wage_CBA_Fringe)&gt;(19/0.965+Wage_CBA_Fringe),Project_wage*AF$5,19/0.965)</f>
        <v>19.689119170984455</v>
      </c>
      <c r="AG9" s="540">
        <f>+AF9*1.5</f>
        <v>29.533678756476682</v>
      </c>
      <c r="AH9" s="542">
        <f>IF((Project_wage*AH$5+Wage_CBA_Fringe)&gt;(19/0.965+Wage_CBA_Fringe),Project_wage*AH$5,19/0.965)</f>
        <v>19.689119170984455</v>
      </c>
      <c r="AI9" s="540">
        <f>+AH9*1.5</f>
        <v>29.533678756476682</v>
      </c>
      <c r="AJ9" s="542">
        <f>IF((Project_wage*AJ$5+Wage_CBA_Fringe)&gt;(19/0.965+Wage_CBA_Fringe),Project_wage*AJ$5,19/0.965)</f>
        <v>19.689119170984455</v>
      </c>
      <c r="AK9" s="540">
        <f>+AJ9*1.5</f>
        <v>29.533678756476682</v>
      </c>
      <c r="AL9" s="542">
        <f>IF((Project_wage*AL$5+Wage_CBA_Fringe)&gt;(19/0.965+Wage_CBA_Fringe),Project_wage*AL$5,19/0.965)</f>
        <v>21</v>
      </c>
      <c r="AM9" s="540">
        <f>+AL9*1.5</f>
        <v>31.5</v>
      </c>
      <c r="AN9" s="542">
        <f>IF((Project_wage*AN$5+Wage_CBA_Fringe)&gt;(19/0.965+Wage_CBA_Fringe),Project_wage*AN$5,19/0.965)</f>
        <v>24</v>
      </c>
      <c r="AO9" s="540">
        <f>+AN9*1.5</f>
        <v>36</v>
      </c>
      <c r="AP9" s="542">
        <f>IF(IF((Project_wage*AP5+7.29)&gt;26.96,Project_wage*AP5,19.34)&lt;Base_Rate_Wage,Base_Rate_Wage,IF((Project_wage*AP5+7.29)&gt;26.96,Project_wage*AP5,19.34))</f>
        <v>50.71</v>
      </c>
      <c r="AQ9" s="541">
        <f>+AP9*1.5</f>
        <v>76.064999999999998</v>
      </c>
      <c r="AR9" s="542">
        <f>IF(IF((Project_wage*AR5+7.29)&gt;26.96,Project_wage*AR5,19.34)&lt;Base_Rate_Wage,Base_Rate_Wage,IF((Project_wage*AR5+7.29)&gt;26.96,Project_wage*AR5,19.34))</f>
        <v>50.71</v>
      </c>
      <c r="AS9" s="541">
        <f>+AR9*1.5</f>
        <v>76.064999999999998</v>
      </c>
      <c r="AT9" s="543">
        <v>30</v>
      </c>
      <c r="AU9" s="541">
        <f>+AT9*1.5</f>
        <v>45</v>
      </c>
      <c r="AV9" s="542">
        <v>22</v>
      </c>
      <c r="AW9" s="541">
        <f>+AV9*1.5</f>
        <v>33</v>
      </c>
      <c r="AY9" s="155"/>
      <c r="BC9" s="325"/>
      <c r="BD9" s="155"/>
      <c r="BE9" s="232"/>
    </row>
    <row r="10" spans="1:78" ht="37.5" customHeight="1" thickBot="1">
      <c r="A10" s="286" t="s">
        <v>347</v>
      </c>
      <c r="B10" s="815" t="s">
        <v>348</v>
      </c>
      <c r="C10" s="816"/>
      <c r="D10" s="816"/>
      <c r="E10" s="816"/>
      <c r="F10" s="816"/>
      <c r="G10" s="817"/>
      <c r="H10" s="269">
        <v>0</v>
      </c>
      <c r="I10" s="268"/>
      <c r="J10" s="269">
        <v>0</v>
      </c>
      <c r="K10" s="268"/>
      <c r="L10" s="284">
        <v>5</v>
      </c>
      <c r="M10" s="285">
        <v>5</v>
      </c>
      <c r="N10" s="284">
        <v>4</v>
      </c>
      <c r="O10" s="285">
        <v>4</v>
      </c>
      <c r="P10" s="284">
        <v>3</v>
      </c>
      <c r="Q10" s="285">
        <v>3</v>
      </c>
      <c r="R10" s="284">
        <v>2</v>
      </c>
      <c r="S10" s="285">
        <v>2</v>
      </c>
      <c r="T10" s="284">
        <v>1</v>
      </c>
      <c r="U10" s="285">
        <v>1</v>
      </c>
      <c r="V10" s="284">
        <v>10</v>
      </c>
      <c r="W10" s="285">
        <v>10</v>
      </c>
      <c r="X10" s="284">
        <v>5</v>
      </c>
      <c r="Y10" s="282">
        <v>5</v>
      </c>
      <c r="Z10" s="269">
        <v>0</v>
      </c>
      <c r="AA10" s="268"/>
      <c r="AB10" s="269">
        <v>0</v>
      </c>
      <c r="AC10" s="268"/>
      <c r="AD10" s="269">
        <v>0</v>
      </c>
      <c r="AE10" s="268"/>
      <c r="AF10" s="269">
        <v>0</v>
      </c>
      <c r="AG10" s="268"/>
      <c r="AH10" s="269">
        <v>0</v>
      </c>
      <c r="AI10" s="268"/>
      <c r="AJ10" s="269">
        <v>0</v>
      </c>
      <c r="AK10" s="268"/>
      <c r="AL10" s="269">
        <v>0</v>
      </c>
      <c r="AM10" s="268"/>
      <c r="AN10" s="269">
        <v>0</v>
      </c>
      <c r="AO10" s="268"/>
      <c r="AP10" s="283">
        <v>10</v>
      </c>
      <c r="AQ10" s="282">
        <v>10</v>
      </c>
      <c r="AR10" s="283">
        <v>10</v>
      </c>
      <c r="AS10" s="282">
        <v>10</v>
      </c>
      <c r="AT10" s="266">
        <v>0</v>
      </c>
      <c r="AU10" s="264"/>
      <c r="AV10" s="269">
        <v>0</v>
      </c>
      <c r="AW10" s="264"/>
      <c r="AY10" s="155"/>
      <c r="BD10" s="155"/>
    </row>
    <row r="11" spans="1:78" ht="36" customHeight="1" thickBot="1">
      <c r="A11" s="236"/>
      <c r="B11" s="833" t="s">
        <v>349</v>
      </c>
      <c r="C11" s="834"/>
      <c r="D11" s="834"/>
      <c r="E11" s="834"/>
      <c r="F11" s="834"/>
      <c r="G11" s="835"/>
      <c r="H11" s="275">
        <f>IF(+Project_Wage_and_Fringe*H5-Wage_CBA_Fringe-H9&lt;0,0,+Project_Wage_and_Fringe*H5-Wage_CBA_Fringe-H9)</f>
        <v>0</v>
      </c>
      <c r="I11" s="277">
        <f>+'Labor Costs'!$I$23-7.29</f>
        <v>0</v>
      </c>
      <c r="J11" s="275"/>
      <c r="K11" s="277"/>
      <c r="L11" s="275">
        <f>IF(+Project_Wage_and_Fringe*L5-Wage_CBA_Fringe-L9&lt;0,0,+Project_Wage_and_Fringe*L5-Wage_CBA_Fringe-L9)</f>
        <v>0</v>
      </c>
      <c r="M11" s="277">
        <f>+'Labor Costs'!$I$23-7.29</f>
        <v>0</v>
      </c>
      <c r="N11" s="275">
        <f>IF(+Project_Wage_and_Fringe*N5-Wage_CBA_Fringe-N9&lt;0,0,+Project_Wage_and_Fringe*N5-Wage_CBA_Fringe-N9)</f>
        <v>0</v>
      </c>
      <c r="O11" s="277">
        <f>+'Labor Costs'!$I$23-7.29</f>
        <v>0</v>
      </c>
      <c r="P11" s="275">
        <f>IF(+Project_Wage_and_Fringe*P5-Wage_CBA_Fringe-P9&lt;0,0,+Project_Wage_and_Fringe*P5-Wage_CBA_Fringe-P9)</f>
        <v>0</v>
      </c>
      <c r="Q11" s="277">
        <f>+'Labor Costs'!$I$23-7.29</f>
        <v>0</v>
      </c>
      <c r="R11" s="275">
        <f>IF(+Project_Wage_and_Fringe*R5-Wage_CBA_Fringe-R9&lt;0,0,+Project_Wage_and_Fringe*R5-Wage_CBA_Fringe-R9)</f>
        <v>0</v>
      </c>
      <c r="S11" s="277">
        <f>+'Labor Costs'!$I$23-7.29</f>
        <v>0</v>
      </c>
      <c r="T11" s="275">
        <f>IF(+Project_Wage_and_Fringe*T5-Wage_CBA_Fringe-T9&lt;0,0,+Project_Wage_and_Fringe*T5-Wage_CBA_Fringe-T9)</f>
        <v>0</v>
      </c>
      <c r="U11" s="277">
        <f>+'Labor Costs'!$I$23-7.29</f>
        <v>0</v>
      </c>
      <c r="V11" s="275">
        <f>IF(+Project_Wage_and_Fringe*V5-Wage_CBA_Fringe-V9&lt;0,0,+Project_Wage_and_Fringe*V5-Wage_CBA_Fringe-V9)</f>
        <v>0</v>
      </c>
      <c r="W11" s="277">
        <f>+'Labor Costs'!$I$23-7.29</f>
        <v>0</v>
      </c>
      <c r="X11" s="275">
        <f>IF(+Project_Wage_and_Fringe*X5-Wage_CBA_Fringe-X9&lt;0,0,+Project_Wage_and_Fringe*X5-Wage_CBA_Fringe-X9)</f>
        <v>0</v>
      </c>
      <c r="Y11" s="274">
        <f>+'Labor Costs'!$I$23-7.29</f>
        <v>0</v>
      </c>
      <c r="Z11" s="275">
        <f>IF(+Project_Wage_and_Fringe*Z5-Wage_CBA_Fringe-Z9&lt;0,0,+Project_Wage_and_Fringe*Z5-Wage_CBA_Fringe-Z9)</f>
        <v>0</v>
      </c>
      <c r="AA11" s="277">
        <f>+'Labor Costs'!$I$23-7.29</f>
        <v>0</v>
      </c>
      <c r="AB11" s="275">
        <f>IF(+Project_Wage_and_Fringe*AB5-Wage_CBA_Fringe-AB9&lt;0,0,+Project_Wage_and_Fringe*AB5-Wage_CBA_Fringe-AB9)</f>
        <v>0</v>
      </c>
      <c r="AC11" s="277">
        <f>+'Labor Costs'!$I$23-7.29</f>
        <v>0</v>
      </c>
      <c r="AD11" s="275">
        <f>IF(+Project_Wage_and_Fringe*AD5-Wage_CBA_Fringe-AD9&lt;0,0,+Project_Wage_and_Fringe*AD5-Wage_CBA_Fringe-AD9)</f>
        <v>0</v>
      </c>
      <c r="AE11" s="277">
        <f>+'Labor Costs'!$I$23-7.29</f>
        <v>0</v>
      </c>
      <c r="AF11" s="275">
        <f>IF(+Project_Wage_and_Fringe*AF5-Wage_CBA_Fringe-AF9&lt;0,0,+Project_Wage_and_Fringe*AF5-Wage_CBA_Fringe-AF9)</f>
        <v>0</v>
      </c>
      <c r="AG11" s="277">
        <f>+'Labor Costs'!$I$23-7.29</f>
        <v>0</v>
      </c>
      <c r="AH11" s="275">
        <f>IF(+Project_Wage_and_Fringe*AH5-Wage_CBA_Fringe-AH9&lt;0,0,+Project_Wage_and_Fringe*AH5-Wage_CBA_Fringe-AH9)</f>
        <v>0</v>
      </c>
      <c r="AI11" s="277">
        <f>+'Labor Costs'!$I$23-7.29</f>
        <v>0</v>
      </c>
      <c r="AJ11" s="275">
        <f>IF(+Project_Wage_and_Fringe*AJ5-Wage_CBA_Fringe-AJ9&lt;0,0,+Project_Wage_and_Fringe*AJ5-Wage_CBA_Fringe-AJ9)</f>
        <v>0</v>
      </c>
      <c r="AK11" s="277">
        <f>+'Labor Costs'!$I$23-7.29</f>
        <v>0</v>
      </c>
      <c r="AL11" s="275">
        <f>IF(+Project_Wage_and_Fringe*AL5-Wage_CBA_Fringe-AL9&lt;0,0,+Project_Wage_and_Fringe*AL5-Wage_CBA_Fringe-AL9)</f>
        <v>0</v>
      </c>
      <c r="AM11" s="277">
        <f>+'Labor Costs'!$I$23-7.29</f>
        <v>0</v>
      </c>
      <c r="AN11" s="275">
        <f>IF(+Project_Wage_and_Fringe*AN5-Wage_CBA_Fringe-AN9&lt;0,0,+Project_Wage_and_Fringe*AN5-Wage_CBA_Fringe-AN9)</f>
        <v>0</v>
      </c>
      <c r="AO11" s="277">
        <f>+'Labor Costs'!$I$23-7.29</f>
        <v>0</v>
      </c>
      <c r="AP11" s="275">
        <f>IF(+Project_Wage_and_Fringe*AP5-Wage_CBA_Fringe-AP9&lt;0,0,+Project_Wage_and_Fringe*AP5-Wage_CBA_Fringe-AP9)</f>
        <v>0</v>
      </c>
      <c r="AQ11" s="274">
        <f>+'Labor Costs'!$I$23-7.29</f>
        <v>0</v>
      </c>
      <c r="AR11" s="275">
        <f>IF(+Project_Wage_and_Fringe*AR5-Wage_CBA_Fringe-AR9&lt;0,0,+Project_Wage_and_Fringe*AR5-Wage_CBA_Fringe-AR9)</f>
        <v>0</v>
      </c>
      <c r="AS11" s="274">
        <f>+'Labor Costs'!$I$23-7.29</f>
        <v>0</v>
      </c>
      <c r="AT11" s="275">
        <v>0</v>
      </c>
      <c r="AU11" s="274">
        <v>0</v>
      </c>
      <c r="AV11" s="275">
        <v>0</v>
      </c>
      <c r="AW11" s="274">
        <v>0</v>
      </c>
      <c r="AY11" s="155"/>
      <c r="BD11" s="155"/>
    </row>
    <row r="12" spans="1:78" ht="36" customHeight="1" thickBot="1">
      <c r="A12" s="281"/>
      <c r="B12" s="811" t="s">
        <v>350</v>
      </c>
      <c r="C12" s="812"/>
      <c r="D12" s="812"/>
      <c r="E12" s="812"/>
      <c r="F12" s="812"/>
      <c r="G12" s="813"/>
      <c r="H12" s="271">
        <f t="shared" ref="H12:AW12" si="6">SUM(H13:H24)</f>
        <v>3.8374000000000001</v>
      </c>
      <c r="I12" s="273">
        <f t="shared" si="6"/>
        <v>5.6430999999999996</v>
      </c>
      <c r="J12" s="271">
        <f t="shared" ref="J12" si="7">SUM(J13:J24)</f>
        <v>3.8374000000000001</v>
      </c>
      <c r="K12" s="273">
        <f t="shared" ref="K12" si="8">SUM(K13:K24)</f>
        <v>5.6430999999999996</v>
      </c>
      <c r="L12" s="271">
        <f t="shared" si="6"/>
        <v>6.9323698000000009</v>
      </c>
      <c r="M12" s="273">
        <f t="shared" si="6"/>
        <v>9.9846046999999984</v>
      </c>
      <c r="N12" s="271">
        <f t="shared" si="6"/>
        <v>6.8119898000000001</v>
      </c>
      <c r="O12" s="273">
        <f t="shared" si="6"/>
        <v>9.8642246999999994</v>
      </c>
      <c r="P12" s="271">
        <f t="shared" si="6"/>
        <v>6.6916097999999993</v>
      </c>
      <c r="Q12" s="273">
        <f t="shared" si="6"/>
        <v>9.7438447000000004</v>
      </c>
      <c r="R12" s="271">
        <f t="shared" si="6"/>
        <v>4.0781599999999996</v>
      </c>
      <c r="S12" s="273">
        <f t="shared" si="6"/>
        <v>5.8838600000000003</v>
      </c>
      <c r="T12" s="271">
        <f t="shared" si="6"/>
        <v>3.9577800000000001</v>
      </c>
      <c r="U12" s="273">
        <f t="shared" si="6"/>
        <v>5.7634800000000004</v>
      </c>
      <c r="V12" s="271">
        <f t="shared" si="6"/>
        <v>7.5342697999999997</v>
      </c>
      <c r="W12" s="273">
        <f t="shared" si="6"/>
        <v>10.586504700000001</v>
      </c>
      <c r="X12" s="271">
        <f t="shared" si="6"/>
        <v>6.9323698000000009</v>
      </c>
      <c r="Y12" s="270">
        <f t="shared" si="6"/>
        <v>9.9846046999999984</v>
      </c>
      <c r="Z12" s="271">
        <f t="shared" si="6"/>
        <v>2.5541491999999999</v>
      </c>
      <c r="AA12" s="273">
        <f t="shared" si="6"/>
        <v>3.7182237999999996</v>
      </c>
      <c r="AB12" s="271">
        <f t="shared" si="6"/>
        <v>2.5961761658031088</v>
      </c>
      <c r="AC12" s="273">
        <f t="shared" si="6"/>
        <v>3.7812642487046628</v>
      </c>
      <c r="AD12" s="271">
        <f t="shared" si="6"/>
        <v>2.5961761658031088</v>
      </c>
      <c r="AE12" s="273">
        <f t="shared" si="6"/>
        <v>3.7812642487046628</v>
      </c>
      <c r="AF12" s="271">
        <f t="shared" si="6"/>
        <v>2.5961761658031088</v>
      </c>
      <c r="AG12" s="273">
        <f t="shared" si="6"/>
        <v>3.7812642487046628</v>
      </c>
      <c r="AH12" s="271">
        <f t="shared" si="6"/>
        <v>2.5961761658031088</v>
      </c>
      <c r="AI12" s="273">
        <f t="shared" si="6"/>
        <v>3.7812642487046628</v>
      </c>
      <c r="AJ12" s="271">
        <f t="shared" si="6"/>
        <v>2.5961761658031088</v>
      </c>
      <c r="AK12" s="273">
        <f t="shared" si="6"/>
        <v>3.7812642487046628</v>
      </c>
      <c r="AL12" s="271">
        <f t="shared" si="6"/>
        <v>2.7539800000000003</v>
      </c>
      <c r="AM12" s="273">
        <f t="shared" si="6"/>
        <v>4.01797</v>
      </c>
      <c r="AN12" s="271">
        <f t="shared" si="6"/>
        <v>3.1151200000000001</v>
      </c>
      <c r="AO12" s="273">
        <f t="shared" si="6"/>
        <v>4.5596800000000002</v>
      </c>
      <c r="AP12" s="272">
        <f t="shared" si="6"/>
        <v>7.5342697999999997</v>
      </c>
      <c r="AQ12" s="270">
        <f t="shared" si="6"/>
        <v>10.586504700000001</v>
      </c>
      <c r="AR12" s="272">
        <f t="shared" si="6"/>
        <v>7.5342697999999997</v>
      </c>
      <c r="AS12" s="270">
        <f t="shared" si="6"/>
        <v>10.586504700000001</v>
      </c>
      <c r="AT12" s="272">
        <f t="shared" si="6"/>
        <v>3.8374000000000001</v>
      </c>
      <c r="AU12" s="270">
        <f t="shared" si="6"/>
        <v>5.6430999999999996</v>
      </c>
      <c r="AV12" s="271">
        <f t="shared" si="6"/>
        <v>2.8743599999999998</v>
      </c>
      <c r="AW12" s="270">
        <f t="shared" si="6"/>
        <v>4.1985400000000004</v>
      </c>
      <c r="AY12" s="155"/>
      <c r="BD12" s="155"/>
    </row>
    <row r="13" spans="1:78" ht="25.9" customHeight="1">
      <c r="A13" s="240"/>
      <c r="B13" s="760" t="s">
        <v>351</v>
      </c>
      <c r="C13" s="761"/>
      <c r="D13" s="761"/>
      <c r="E13" s="761"/>
      <c r="F13" s="355" t="s">
        <v>352</v>
      </c>
      <c r="G13" s="766">
        <v>8.9999999999999993E-3</v>
      </c>
      <c r="H13" s="758">
        <f t="shared" ref="H13:AW13" si="9">+H$8*$G13</f>
        <v>0.26999999999999996</v>
      </c>
      <c r="I13" s="758">
        <f t="shared" si="9"/>
        <v>0.40499999999999997</v>
      </c>
      <c r="J13" s="758">
        <f t="shared" si="9"/>
        <v>0.26999999999999996</v>
      </c>
      <c r="K13" s="758">
        <f t="shared" si="9"/>
        <v>0.40499999999999997</v>
      </c>
      <c r="L13" s="758">
        <f t="shared" si="9"/>
        <v>0.50139</v>
      </c>
      <c r="M13" s="758">
        <f t="shared" si="9"/>
        <v>0.72958499999999993</v>
      </c>
      <c r="N13" s="758">
        <f t="shared" si="9"/>
        <v>0.49238999999999999</v>
      </c>
      <c r="O13" s="758">
        <f t="shared" si="9"/>
        <v>0.72058499999999992</v>
      </c>
      <c r="P13" s="758">
        <f t="shared" si="9"/>
        <v>0.48338999999999999</v>
      </c>
      <c r="Q13" s="758">
        <f t="shared" si="9"/>
        <v>0.71158499999999991</v>
      </c>
      <c r="R13" s="758">
        <f t="shared" si="9"/>
        <v>0.28799999999999998</v>
      </c>
      <c r="S13" s="758">
        <f t="shared" si="9"/>
        <v>0.42299999999999999</v>
      </c>
      <c r="T13" s="758">
        <f t="shared" si="9"/>
        <v>0.27899999999999997</v>
      </c>
      <c r="U13" s="758">
        <f t="shared" si="9"/>
        <v>0.41399999999999998</v>
      </c>
      <c r="V13" s="758">
        <f t="shared" si="9"/>
        <v>0.54638999999999993</v>
      </c>
      <c r="W13" s="758">
        <f t="shared" si="9"/>
        <v>0.77458499999999997</v>
      </c>
      <c r="X13" s="758">
        <f t="shared" si="9"/>
        <v>0.50139</v>
      </c>
      <c r="Y13" s="758">
        <f t="shared" si="9"/>
        <v>0.72958499999999993</v>
      </c>
      <c r="Z13" s="758">
        <f t="shared" si="9"/>
        <v>0.17405999999999999</v>
      </c>
      <c r="AA13" s="758">
        <f t="shared" si="9"/>
        <v>0.26108999999999999</v>
      </c>
      <c r="AB13" s="758">
        <f t="shared" si="9"/>
        <v>0.17720207253886008</v>
      </c>
      <c r="AC13" s="758">
        <f t="shared" si="9"/>
        <v>0.26580310880829011</v>
      </c>
      <c r="AD13" s="758">
        <f t="shared" si="9"/>
        <v>0.17720207253886008</v>
      </c>
      <c r="AE13" s="758">
        <f t="shared" si="9"/>
        <v>0.26580310880829011</v>
      </c>
      <c r="AF13" s="758">
        <f t="shared" si="9"/>
        <v>0.17720207253886008</v>
      </c>
      <c r="AG13" s="758">
        <f t="shared" si="9"/>
        <v>0.26580310880829011</v>
      </c>
      <c r="AH13" s="758">
        <f t="shared" si="9"/>
        <v>0.17720207253886008</v>
      </c>
      <c r="AI13" s="758">
        <f t="shared" si="9"/>
        <v>0.26580310880829011</v>
      </c>
      <c r="AJ13" s="758">
        <f t="shared" si="9"/>
        <v>0.17720207253886008</v>
      </c>
      <c r="AK13" s="758">
        <f t="shared" si="9"/>
        <v>0.26580310880829011</v>
      </c>
      <c r="AL13" s="758">
        <f t="shared" si="9"/>
        <v>0.18899999999999997</v>
      </c>
      <c r="AM13" s="758">
        <f t="shared" si="9"/>
        <v>0.28349999999999997</v>
      </c>
      <c r="AN13" s="758">
        <f t="shared" si="9"/>
        <v>0.21599999999999997</v>
      </c>
      <c r="AO13" s="758">
        <f t="shared" si="9"/>
        <v>0.32399999999999995</v>
      </c>
      <c r="AP13" s="758">
        <f t="shared" si="9"/>
        <v>0.54638999999999993</v>
      </c>
      <c r="AQ13" s="758">
        <f t="shared" si="9"/>
        <v>0.77458499999999997</v>
      </c>
      <c r="AR13" s="758">
        <f t="shared" si="9"/>
        <v>0.54638999999999993</v>
      </c>
      <c r="AS13" s="758">
        <f t="shared" si="9"/>
        <v>0.77458499999999997</v>
      </c>
      <c r="AT13" s="758">
        <f t="shared" si="9"/>
        <v>0.26999999999999996</v>
      </c>
      <c r="AU13" s="758">
        <f t="shared" si="9"/>
        <v>0.40499999999999997</v>
      </c>
      <c r="AV13" s="758">
        <f t="shared" si="9"/>
        <v>0.19799999999999998</v>
      </c>
      <c r="AW13" s="758">
        <f t="shared" si="9"/>
        <v>0.29699999999999999</v>
      </c>
      <c r="AY13" s="155"/>
      <c r="BD13" s="155"/>
      <c r="BE13" s="234"/>
    </row>
    <row r="14" spans="1:78" ht="25.9" customHeight="1">
      <c r="A14" s="240"/>
      <c r="B14" s="763"/>
      <c r="C14" s="764"/>
      <c r="D14" s="764"/>
      <c r="E14" s="764"/>
      <c r="F14" s="354">
        <v>184500</v>
      </c>
      <c r="G14" s="767"/>
      <c r="H14" s="759"/>
      <c r="I14" s="759"/>
      <c r="J14" s="759"/>
      <c r="K14" s="759"/>
      <c r="L14" s="759"/>
      <c r="M14" s="759"/>
      <c r="N14" s="759"/>
      <c r="O14" s="759"/>
      <c r="P14" s="759"/>
      <c r="Q14" s="759"/>
      <c r="R14" s="759"/>
      <c r="S14" s="759"/>
      <c r="T14" s="759"/>
      <c r="U14" s="759"/>
      <c r="V14" s="759"/>
      <c r="W14" s="759"/>
      <c r="X14" s="759"/>
      <c r="Y14" s="759"/>
      <c r="Z14" s="759"/>
      <c r="AA14" s="759"/>
      <c r="AB14" s="759"/>
      <c r="AC14" s="759"/>
      <c r="AD14" s="759"/>
      <c r="AE14" s="759"/>
      <c r="AF14" s="759"/>
      <c r="AG14" s="759"/>
      <c r="AH14" s="759"/>
      <c r="AI14" s="759"/>
      <c r="AJ14" s="759"/>
      <c r="AK14" s="759"/>
      <c r="AL14" s="759"/>
      <c r="AM14" s="759"/>
      <c r="AN14" s="759"/>
      <c r="AO14" s="759"/>
      <c r="AP14" s="759"/>
      <c r="AQ14" s="759"/>
      <c r="AR14" s="759"/>
      <c r="AS14" s="759"/>
      <c r="AT14" s="759"/>
      <c r="AU14" s="759"/>
      <c r="AV14" s="759"/>
      <c r="AW14" s="759"/>
      <c r="AY14" s="155"/>
      <c r="BD14" s="155"/>
      <c r="BE14" s="234"/>
    </row>
    <row r="15" spans="1:78" ht="25.9" customHeight="1">
      <c r="A15" s="240"/>
      <c r="B15" s="760" t="s">
        <v>353</v>
      </c>
      <c r="C15" s="761"/>
      <c r="D15" s="761"/>
      <c r="E15" s="761"/>
      <c r="F15" s="355" t="s">
        <v>352</v>
      </c>
      <c r="G15" s="766">
        <f>0.0765-0.009</f>
        <v>6.7500000000000004E-2</v>
      </c>
      <c r="H15" s="758">
        <f t="shared" ref="H15:AW15" si="10">+H$8*$G15</f>
        <v>2.0250000000000004</v>
      </c>
      <c r="I15" s="758">
        <f t="shared" si="10"/>
        <v>3.0375000000000001</v>
      </c>
      <c r="J15" s="758">
        <f t="shared" si="10"/>
        <v>2.0250000000000004</v>
      </c>
      <c r="K15" s="758">
        <f t="shared" si="10"/>
        <v>3.0375000000000001</v>
      </c>
      <c r="L15" s="758">
        <f t="shared" si="10"/>
        <v>3.7604250000000001</v>
      </c>
      <c r="M15" s="758">
        <f t="shared" si="10"/>
        <v>5.4718875000000002</v>
      </c>
      <c r="N15" s="758">
        <f t="shared" si="10"/>
        <v>3.6929250000000002</v>
      </c>
      <c r="O15" s="758">
        <f t="shared" si="10"/>
        <v>5.4043875000000003</v>
      </c>
      <c r="P15" s="758">
        <f t="shared" si="10"/>
        <v>3.6254250000000003</v>
      </c>
      <c r="Q15" s="758">
        <f t="shared" si="10"/>
        <v>5.3368875000000005</v>
      </c>
      <c r="R15" s="758">
        <f t="shared" si="10"/>
        <v>2.16</v>
      </c>
      <c r="S15" s="758">
        <f t="shared" si="10"/>
        <v>3.1725000000000003</v>
      </c>
      <c r="T15" s="758">
        <f t="shared" si="10"/>
        <v>2.0925000000000002</v>
      </c>
      <c r="U15" s="758">
        <f t="shared" si="10"/>
        <v>3.1050000000000004</v>
      </c>
      <c r="V15" s="758">
        <f t="shared" si="10"/>
        <v>4.097925</v>
      </c>
      <c r="W15" s="758">
        <f t="shared" si="10"/>
        <v>5.8093875000000006</v>
      </c>
      <c r="X15" s="758">
        <f t="shared" si="10"/>
        <v>3.7604250000000001</v>
      </c>
      <c r="Y15" s="758">
        <f t="shared" si="10"/>
        <v>5.4718875000000002</v>
      </c>
      <c r="Z15" s="758">
        <f t="shared" si="10"/>
        <v>1.30545</v>
      </c>
      <c r="AA15" s="758">
        <f t="shared" si="10"/>
        <v>1.958175</v>
      </c>
      <c r="AB15" s="758">
        <f t="shared" si="10"/>
        <v>1.3290155440414508</v>
      </c>
      <c r="AC15" s="758">
        <f t="shared" si="10"/>
        <v>1.9935233160621761</v>
      </c>
      <c r="AD15" s="758">
        <f t="shared" si="10"/>
        <v>1.3290155440414508</v>
      </c>
      <c r="AE15" s="758">
        <f t="shared" si="10"/>
        <v>1.9935233160621761</v>
      </c>
      <c r="AF15" s="758">
        <f t="shared" si="10"/>
        <v>1.3290155440414508</v>
      </c>
      <c r="AG15" s="758">
        <f t="shared" si="10"/>
        <v>1.9935233160621761</v>
      </c>
      <c r="AH15" s="758">
        <f t="shared" si="10"/>
        <v>1.3290155440414508</v>
      </c>
      <c r="AI15" s="758">
        <f t="shared" si="10"/>
        <v>1.9935233160621761</v>
      </c>
      <c r="AJ15" s="758">
        <f t="shared" si="10"/>
        <v>1.3290155440414508</v>
      </c>
      <c r="AK15" s="758">
        <f t="shared" si="10"/>
        <v>1.9935233160621761</v>
      </c>
      <c r="AL15" s="758">
        <f t="shared" si="10"/>
        <v>1.4175</v>
      </c>
      <c r="AM15" s="758">
        <f t="shared" si="10"/>
        <v>2.1262500000000002</v>
      </c>
      <c r="AN15" s="758">
        <f t="shared" si="10"/>
        <v>1.62</v>
      </c>
      <c r="AO15" s="758">
        <f t="shared" si="10"/>
        <v>2.4300000000000002</v>
      </c>
      <c r="AP15" s="758">
        <f t="shared" si="10"/>
        <v>4.097925</v>
      </c>
      <c r="AQ15" s="758">
        <f t="shared" si="10"/>
        <v>5.8093875000000006</v>
      </c>
      <c r="AR15" s="758">
        <f t="shared" si="10"/>
        <v>4.097925</v>
      </c>
      <c r="AS15" s="758">
        <f t="shared" si="10"/>
        <v>5.8093875000000006</v>
      </c>
      <c r="AT15" s="758">
        <f t="shared" si="10"/>
        <v>2.0250000000000004</v>
      </c>
      <c r="AU15" s="758">
        <f t="shared" si="10"/>
        <v>3.0375000000000001</v>
      </c>
      <c r="AV15" s="758">
        <f t="shared" si="10"/>
        <v>1.4850000000000001</v>
      </c>
      <c r="AW15" s="758">
        <f t="shared" si="10"/>
        <v>2.2275</v>
      </c>
      <c r="AY15" s="155"/>
      <c r="BD15" s="155"/>
    </row>
    <row r="16" spans="1:78" ht="25.9" customHeight="1">
      <c r="A16" s="239"/>
      <c r="B16" s="763"/>
      <c r="C16" s="764"/>
      <c r="D16" s="764"/>
      <c r="E16" s="764"/>
      <c r="F16" s="354">
        <v>184500</v>
      </c>
      <c r="G16" s="767"/>
      <c r="H16" s="759"/>
      <c r="I16" s="759"/>
      <c r="J16" s="759"/>
      <c r="K16" s="759"/>
      <c r="L16" s="759"/>
      <c r="M16" s="759"/>
      <c r="N16" s="759"/>
      <c r="O16" s="759"/>
      <c r="P16" s="759"/>
      <c r="Q16" s="759"/>
      <c r="R16" s="759"/>
      <c r="S16" s="759"/>
      <c r="T16" s="759"/>
      <c r="U16" s="759"/>
      <c r="V16" s="759"/>
      <c r="W16" s="759"/>
      <c r="X16" s="759"/>
      <c r="Y16" s="759"/>
      <c r="Z16" s="759"/>
      <c r="AA16" s="759"/>
      <c r="AB16" s="759"/>
      <c r="AC16" s="759"/>
      <c r="AD16" s="759"/>
      <c r="AE16" s="759"/>
      <c r="AF16" s="759"/>
      <c r="AG16" s="759"/>
      <c r="AH16" s="759"/>
      <c r="AI16" s="759"/>
      <c r="AJ16" s="759"/>
      <c r="AK16" s="759"/>
      <c r="AL16" s="759"/>
      <c r="AM16" s="759"/>
      <c r="AN16" s="759"/>
      <c r="AO16" s="759"/>
      <c r="AP16" s="759"/>
      <c r="AQ16" s="759"/>
      <c r="AR16" s="759"/>
      <c r="AS16" s="759"/>
      <c r="AT16" s="759"/>
      <c r="AU16" s="759"/>
      <c r="AV16" s="759"/>
      <c r="AW16" s="759"/>
      <c r="AY16" s="155"/>
      <c r="BD16" s="155"/>
    </row>
    <row r="17" spans="1:56" ht="25.9" customHeight="1" thickBot="1">
      <c r="A17" s="239"/>
      <c r="B17" s="760" t="s">
        <v>354</v>
      </c>
      <c r="C17" s="761"/>
      <c r="D17" s="762"/>
      <c r="E17" s="355" t="s">
        <v>355</v>
      </c>
      <c r="F17" s="355" t="s">
        <v>352</v>
      </c>
      <c r="G17" s="766" cm="1">
        <f t="array" ref="G17">_xlfn.IFS(Project_Company=Goel, _xlfn.XLOOKUP(Project_State, Rate_State, SUTA_GOEL_Rate,””),
Project_Company=DCB, _xlfn.XLOOKUP(Project_State, Rate_State, SUTA__DCB__Rate,””),
Project_Company=GoelDC, _xlfn.XLOOKUP(Project_State, Rate_State, SUTA_GOEL_DC__Rate,””),TRUE, "")</f>
        <v>3.3000000000000002E-2</v>
      </c>
      <c r="H17" s="758">
        <f t="shared" ref="H17:AW17" si="11">+SUTA/H8*H8*SUTA_RATE/Hours_per_worker</f>
        <v>0.19800000000000001</v>
      </c>
      <c r="I17" s="758">
        <f t="shared" si="11"/>
        <v>0.19800000000000001</v>
      </c>
      <c r="J17" s="758">
        <f t="shared" ref="J17:K17" si="12">+SUTA/J8*J8*SUTA_RATE/Hours_per_worker</f>
        <v>0.19800000000000001</v>
      </c>
      <c r="K17" s="758">
        <f t="shared" si="12"/>
        <v>0.19800000000000001</v>
      </c>
      <c r="L17" s="758">
        <f t="shared" si="11"/>
        <v>0.19800000000000001</v>
      </c>
      <c r="M17" s="758">
        <f t="shared" si="11"/>
        <v>0.19800000000000001</v>
      </c>
      <c r="N17" s="758">
        <f t="shared" si="11"/>
        <v>0.19800000000000001</v>
      </c>
      <c r="O17" s="758">
        <f t="shared" si="11"/>
        <v>0.19800000000000001</v>
      </c>
      <c r="P17" s="758">
        <f t="shared" si="11"/>
        <v>0.19800000000000001</v>
      </c>
      <c r="Q17" s="758">
        <f t="shared" si="11"/>
        <v>0.19800000000000001</v>
      </c>
      <c r="R17" s="758">
        <f t="shared" si="11"/>
        <v>0.19800000000000001</v>
      </c>
      <c r="S17" s="758">
        <f t="shared" si="11"/>
        <v>0.19800000000000001</v>
      </c>
      <c r="T17" s="758">
        <f t="shared" si="11"/>
        <v>0.19800000000000001</v>
      </c>
      <c r="U17" s="758">
        <f t="shared" si="11"/>
        <v>0.19800000000000001</v>
      </c>
      <c r="V17" s="758">
        <f t="shared" si="11"/>
        <v>0.19800000000000001</v>
      </c>
      <c r="W17" s="758">
        <f t="shared" si="11"/>
        <v>0.19800000000000001</v>
      </c>
      <c r="X17" s="758">
        <f t="shared" si="11"/>
        <v>0.19800000000000001</v>
      </c>
      <c r="Y17" s="758">
        <f t="shared" si="11"/>
        <v>0.19800000000000001</v>
      </c>
      <c r="Z17" s="758">
        <f t="shared" si="11"/>
        <v>0.19800000000000001</v>
      </c>
      <c r="AA17" s="758">
        <f t="shared" si="11"/>
        <v>0.19800000000000001</v>
      </c>
      <c r="AB17" s="758">
        <f t="shared" si="11"/>
        <v>0.19800000000000001</v>
      </c>
      <c r="AC17" s="758">
        <f t="shared" si="11"/>
        <v>0.19800000000000001</v>
      </c>
      <c r="AD17" s="758">
        <f t="shared" si="11"/>
        <v>0.19800000000000001</v>
      </c>
      <c r="AE17" s="758">
        <f t="shared" si="11"/>
        <v>0.19800000000000001</v>
      </c>
      <c r="AF17" s="758">
        <f t="shared" si="11"/>
        <v>0.19800000000000001</v>
      </c>
      <c r="AG17" s="758">
        <f t="shared" si="11"/>
        <v>0.19800000000000001</v>
      </c>
      <c r="AH17" s="758">
        <f t="shared" si="11"/>
        <v>0.19800000000000001</v>
      </c>
      <c r="AI17" s="758">
        <f t="shared" si="11"/>
        <v>0.19800000000000001</v>
      </c>
      <c r="AJ17" s="758">
        <f t="shared" si="11"/>
        <v>0.19800000000000001</v>
      </c>
      <c r="AK17" s="758">
        <f t="shared" si="11"/>
        <v>0.19800000000000001</v>
      </c>
      <c r="AL17" s="758">
        <f t="shared" si="11"/>
        <v>0.19800000000000001</v>
      </c>
      <c r="AM17" s="758">
        <f t="shared" si="11"/>
        <v>0.19800000000000001</v>
      </c>
      <c r="AN17" s="758">
        <f t="shared" si="11"/>
        <v>0.19800000000000001</v>
      </c>
      <c r="AO17" s="758">
        <f t="shared" si="11"/>
        <v>0.19800000000000001</v>
      </c>
      <c r="AP17" s="758">
        <f t="shared" si="11"/>
        <v>0.19800000000000001</v>
      </c>
      <c r="AQ17" s="758">
        <f t="shared" si="11"/>
        <v>0.19800000000000001</v>
      </c>
      <c r="AR17" s="758">
        <f t="shared" si="11"/>
        <v>0.19800000000000001</v>
      </c>
      <c r="AS17" s="758">
        <f t="shared" si="11"/>
        <v>0.19800000000000001</v>
      </c>
      <c r="AT17" s="758">
        <f t="shared" si="11"/>
        <v>0.19800000000000001</v>
      </c>
      <c r="AU17" s="758">
        <f t="shared" si="11"/>
        <v>0.19800000000000001</v>
      </c>
      <c r="AV17" s="758">
        <f t="shared" si="11"/>
        <v>0.19800000000000001</v>
      </c>
      <c r="AW17" s="758">
        <f t="shared" si="11"/>
        <v>0.19800000000000001</v>
      </c>
      <c r="AY17" s="155"/>
      <c r="BD17" s="155"/>
    </row>
    <row r="18" spans="1:56" ht="25.9" customHeight="1" thickBot="1">
      <c r="A18" s="236"/>
      <c r="B18" s="763"/>
      <c r="C18" s="764"/>
      <c r="D18" s="765"/>
      <c r="E18" s="340">
        <v>1500</v>
      </c>
      <c r="F18" s="354">
        <f>_xlfn.XLOOKUP(Project_State,Rate_State,SUTA__CAP,"")</f>
        <v>9000</v>
      </c>
      <c r="G18" s="767"/>
      <c r="H18" s="759"/>
      <c r="I18" s="759"/>
      <c r="J18" s="759"/>
      <c r="K18" s="759"/>
      <c r="L18" s="759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59"/>
      <c r="Y18" s="759"/>
      <c r="Z18" s="759"/>
      <c r="AA18" s="759"/>
      <c r="AB18" s="759"/>
      <c r="AC18" s="759"/>
      <c r="AD18" s="759"/>
      <c r="AE18" s="759"/>
      <c r="AF18" s="759"/>
      <c r="AG18" s="759"/>
      <c r="AH18" s="759"/>
      <c r="AI18" s="759"/>
      <c r="AJ18" s="759"/>
      <c r="AK18" s="759"/>
      <c r="AL18" s="759"/>
      <c r="AM18" s="759"/>
      <c r="AN18" s="759"/>
      <c r="AO18" s="759"/>
      <c r="AP18" s="759"/>
      <c r="AQ18" s="759"/>
      <c r="AR18" s="759"/>
      <c r="AS18" s="759"/>
      <c r="AT18" s="759"/>
      <c r="AU18" s="759"/>
      <c r="AV18" s="759"/>
      <c r="AW18" s="759"/>
      <c r="AY18" s="155"/>
      <c r="BD18" s="155"/>
    </row>
    <row r="19" spans="1:56" ht="25.9" customHeight="1">
      <c r="A19" s="245"/>
      <c r="B19" s="760" t="s">
        <v>356</v>
      </c>
      <c r="C19" s="761"/>
      <c r="D19" s="762"/>
      <c r="F19" s="355" t="s">
        <v>352</v>
      </c>
      <c r="G19" s="766">
        <f>_xlfn.XLOOKUP(Project_State,Rate_State,FUTA__Rate)</f>
        <v>6.0000000000000001E-3</v>
      </c>
      <c r="H19" s="758">
        <f t="shared" ref="H19:AW19" si="13">+FUTA/H8*H8*FUTA_RATE/Hours_per_worker</f>
        <v>2.8000000000000001E-2</v>
      </c>
      <c r="I19" s="758">
        <f t="shared" si="13"/>
        <v>2.7999999999999994E-2</v>
      </c>
      <c r="J19" s="758">
        <f t="shared" ref="J19:K19" si="14">+FUTA/J8*J8*FUTA_RATE/Hours_per_worker</f>
        <v>2.8000000000000001E-2</v>
      </c>
      <c r="K19" s="758">
        <f t="shared" si="14"/>
        <v>2.7999999999999994E-2</v>
      </c>
      <c r="L19" s="758">
        <f t="shared" si="13"/>
        <v>2.8000000000000001E-2</v>
      </c>
      <c r="M19" s="758">
        <f t="shared" si="13"/>
        <v>2.8000000000000001E-2</v>
      </c>
      <c r="N19" s="758">
        <f t="shared" si="13"/>
        <v>2.8000000000000001E-2</v>
      </c>
      <c r="O19" s="758">
        <f t="shared" si="13"/>
        <v>2.7999999999999994E-2</v>
      </c>
      <c r="P19" s="758">
        <f t="shared" si="13"/>
        <v>2.8000000000000001E-2</v>
      </c>
      <c r="Q19" s="758">
        <f t="shared" si="13"/>
        <v>2.8000000000000001E-2</v>
      </c>
      <c r="R19" s="758">
        <f t="shared" si="13"/>
        <v>2.8000000000000001E-2</v>
      </c>
      <c r="S19" s="758">
        <f t="shared" si="13"/>
        <v>2.7999999999999994E-2</v>
      </c>
      <c r="T19" s="758">
        <f t="shared" si="13"/>
        <v>2.8000000000000001E-2</v>
      </c>
      <c r="U19" s="758">
        <f t="shared" si="13"/>
        <v>2.8000000000000001E-2</v>
      </c>
      <c r="V19" s="758">
        <f t="shared" si="13"/>
        <v>2.8000000000000001E-2</v>
      </c>
      <c r="W19" s="758">
        <f t="shared" si="13"/>
        <v>2.8000000000000001E-2</v>
      </c>
      <c r="X19" s="758">
        <f t="shared" si="13"/>
        <v>2.8000000000000001E-2</v>
      </c>
      <c r="Y19" s="758">
        <f t="shared" si="13"/>
        <v>2.8000000000000001E-2</v>
      </c>
      <c r="Z19" s="758">
        <f t="shared" si="13"/>
        <v>2.7999999999999994E-2</v>
      </c>
      <c r="AA19" s="758">
        <f t="shared" si="13"/>
        <v>2.8000000000000001E-2</v>
      </c>
      <c r="AB19" s="758">
        <f t="shared" si="13"/>
        <v>2.8000000000000001E-2</v>
      </c>
      <c r="AC19" s="758">
        <f t="shared" si="13"/>
        <v>2.8000000000000001E-2</v>
      </c>
      <c r="AD19" s="758">
        <f t="shared" si="13"/>
        <v>2.8000000000000001E-2</v>
      </c>
      <c r="AE19" s="758">
        <f t="shared" si="13"/>
        <v>2.8000000000000001E-2</v>
      </c>
      <c r="AF19" s="758">
        <f t="shared" si="13"/>
        <v>2.8000000000000001E-2</v>
      </c>
      <c r="AG19" s="758">
        <f t="shared" si="13"/>
        <v>2.8000000000000001E-2</v>
      </c>
      <c r="AH19" s="758">
        <f t="shared" si="13"/>
        <v>2.8000000000000001E-2</v>
      </c>
      <c r="AI19" s="758">
        <f t="shared" si="13"/>
        <v>2.8000000000000001E-2</v>
      </c>
      <c r="AJ19" s="758">
        <f t="shared" si="13"/>
        <v>2.8000000000000001E-2</v>
      </c>
      <c r="AK19" s="758">
        <f t="shared" si="13"/>
        <v>2.8000000000000001E-2</v>
      </c>
      <c r="AL19" s="758">
        <f t="shared" si="13"/>
        <v>2.8000000000000001E-2</v>
      </c>
      <c r="AM19" s="758">
        <f t="shared" si="13"/>
        <v>2.8000000000000001E-2</v>
      </c>
      <c r="AN19" s="758">
        <f t="shared" si="13"/>
        <v>2.8000000000000001E-2</v>
      </c>
      <c r="AO19" s="758">
        <f t="shared" si="13"/>
        <v>2.8000000000000001E-2</v>
      </c>
      <c r="AP19" s="758">
        <f t="shared" si="13"/>
        <v>2.8000000000000001E-2</v>
      </c>
      <c r="AQ19" s="758">
        <f t="shared" si="13"/>
        <v>2.8000000000000001E-2</v>
      </c>
      <c r="AR19" s="758">
        <f t="shared" si="13"/>
        <v>2.8000000000000001E-2</v>
      </c>
      <c r="AS19" s="758">
        <f t="shared" si="13"/>
        <v>2.8000000000000001E-2</v>
      </c>
      <c r="AT19" s="758">
        <f t="shared" si="13"/>
        <v>2.8000000000000001E-2</v>
      </c>
      <c r="AU19" s="758">
        <f t="shared" si="13"/>
        <v>2.7999999999999994E-2</v>
      </c>
      <c r="AV19" s="758">
        <f t="shared" si="13"/>
        <v>2.8000000000000001E-2</v>
      </c>
      <c r="AW19" s="758">
        <f t="shared" si="13"/>
        <v>2.8000000000000001E-2</v>
      </c>
      <c r="AY19" s="155"/>
      <c r="BD19" s="155"/>
    </row>
    <row r="20" spans="1:56" ht="25.9" customHeight="1">
      <c r="A20" s="280">
        <v>147000</v>
      </c>
      <c r="B20" s="763"/>
      <c r="C20" s="764"/>
      <c r="D20" s="765"/>
      <c r="F20" s="354">
        <v>7000</v>
      </c>
      <c r="G20" s="767"/>
      <c r="H20" s="759"/>
      <c r="I20" s="759"/>
      <c r="J20" s="759"/>
      <c r="K20" s="759"/>
      <c r="L20" s="759"/>
      <c r="M20" s="759"/>
      <c r="N20" s="759"/>
      <c r="O20" s="759"/>
      <c r="P20" s="759"/>
      <c r="Q20" s="759"/>
      <c r="R20" s="759"/>
      <c r="S20" s="759"/>
      <c r="T20" s="759"/>
      <c r="U20" s="759"/>
      <c r="V20" s="759"/>
      <c r="W20" s="759"/>
      <c r="X20" s="759"/>
      <c r="Y20" s="759"/>
      <c r="Z20" s="759"/>
      <c r="AA20" s="759"/>
      <c r="AB20" s="759"/>
      <c r="AC20" s="759"/>
      <c r="AD20" s="759"/>
      <c r="AE20" s="759"/>
      <c r="AF20" s="759"/>
      <c r="AG20" s="759"/>
      <c r="AH20" s="759"/>
      <c r="AI20" s="759"/>
      <c r="AJ20" s="759"/>
      <c r="AK20" s="759"/>
      <c r="AL20" s="759"/>
      <c r="AM20" s="759"/>
      <c r="AN20" s="759"/>
      <c r="AO20" s="759"/>
      <c r="AP20" s="759"/>
      <c r="AQ20" s="759"/>
      <c r="AR20" s="759"/>
      <c r="AS20" s="759"/>
      <c r="AT20" s="759"/>
      <c r="AU20" s="759"/>
      <c r="AV20" s="759"/>
      <c r="AW20" s="759"/>
      <c r="AY20" s="155"/>
      <c r="BD20" s="155"/>
    </row>
    <row r="21" spans="1:56" ht="25.9" customHeight="1">
      <c r="A21" s="279">
        <v>147000</v>
      </c>
      <c r="B21" s="793" t="s">
        <v>357</v>
      </c>
      <c r="C21" s="761"/>
      <c r="D21" s="761"/>
      <c r="E21" s="762"/>
      <c r="F21" s="355" t="str">
        <f>'Base Bid'!E8</f>
        <v>Does O/CCIP cover WC?</v>
      </c>
      <c r="G21" s="802">
        <f>IF('Base Bid'!F8="NO",_xlfn.XLOOKUP(Project_State,Rate_State,WC_Insulation),"0")</f>
        <v>4.1279999999999997E-2</v>
      </c>
      <c r="H21" s="773">
        <f>IF('Base Bid'!$F8="NO",+H$8*$G21,0)</f>
        <v>1.2383999999999999</v>
      </c>
      <c r="I21" s="775">
        <f>IF('Base Bid'!$F8="NO",+I$8*$G21,0)</f>
        <v>1.8575999999999999</v>
      </c>
      <c r="J21" s="773">
        <f>IF('Base Bid'!$F8="NO",+J$8*$G21,0)</f>
        <v>1.2383999999999999</v>
      </c>
      <c r="K21" s="775">
        <f>IF('Base Bid'!$F8="NO",+K$8*$G21,0)</f>
        <v>1.8575999999999999</v>
      </c>
      <c r="L21" s="773">
        <f>IF('Base Bid'!$F8="NO",+L$8*$G21,0)</f>
        <v>2.2997087999999999</v>
      </c>
      <c r="M21" s="775">
        <f>IF('Base Bid'!$F8="NO",+M$8*$G21,0)</f>
        <v>3.3463631999999999</v>
      </c>
      <c r="N21" s="773">
        <f>IF('Base Bid'!$F8="NO",+N$8*$G21,0)</f>
        <v>2.2584287999999999</v>
      </c>
      <c r="O21" s="775">
        <f>IF('Base Bid'!$F8="NO",+O$8*$G21,0)</f>
        <v>3.3050831999999999</v>
      </c>
      <c r="P21" s="773">
        <f>IF('Base Bid'!$F8="NO",+P$8*$G21,0)</f>
        <v>2.2171487999999999</v>
      </c>
      <c r="Q21" s="775">
        <f>IF('Base Bid'!$F8="NO",+Q$8*$G21,0)</f>
        <v>3.2638031999999999</v>
      </c>
      <c r="R21" s="773">
        <f>IF('Base Bid'!$F8="NO",+R$8*$G21,0)</f>
        <v>1.3209599999999999</v>
      </c>
      <c r="S21" s="775">
        <f>IF('Base Bid'!$F8="NO",+S$8*$G21,0)</f>
        <v>1.9401599999999999</v>
      </c>
      <c r="T21" s="773">
        <f>IF('Base Bid'!$F8="NO",+T$8*$G21,0)</f>
        <v>1.2796799999999999</v>
      </c>
      <c r="U21" s="775">
        <f>IF('Base Bid'!$F8="NO",+U$8*$G21,0)</f>
        <v>1.8988799999999999</v>
      </c>
      <c r="V21" s="773">
        <f>+V$8*$G21</f>
        <v>2.5061087999999998</v>
      </c>
      <c r="W21" s="775">
        <f>+W$8*$G21</f>
        <v>3.5527631999999998</v>
      </c>
      <c r="X21" s="773">
        <f>+X$8*$G21</f>
        <v>2.2997087999999999</v>
      </c>
      <c r="Y21" s="791">
        <f>+Y$8*$G21</f>
        <v>3.3463631999999999</v>
      </c>
      <c r="Z21" s="773">
        <f>IF('Base Bid'!$F8="NO",+Z$8*$G21,0)</f>
        <v>0.79835519999999993</v>
      </c>
      <c r="AA21" s="775">
        <f>IF('Base Bid'!$F8="NO",+AA$8*$G21,0)</f>
        <v>1.1975327999999998</v>
      </c>
      <c r="AB21" s="773">
        <f>IF('Base Bid'!$F8="NO",+AB$8*$G21,0)</f>
        <v>0.81276683937823824</v>
      </c>
      <c r="AC21" s="775">
        <f>IF('Base Bid'!$F8="NO",+AC$8*$G21,0)</f>
        <v>1.2191502590673573</v>
      </c>
      <c r="AD21" s="773">
        <f>IF('Base Bid'!$F8="NO",+AD$8*$G21,0)</f>
        <v>0.81276683937823824</v>
      </c>
      <c r="AE21" s="775">
        <f>IF('Base Bid'!$F8="NO",+AE$8*$G21,0)</f>
        <v>1.2191502590673573</v>
      </c>
      <c r="AF21" s="773">
        <f>IF('Base Bid'!$F8="NO",+AF$8*$G21,0)</f>
        <v>0.81276683937823824</v>
      </c>
      <c r="AG21" s="775">
        <f>IF('Base Bid'!$F8="NO",+AG$8*$G21,0)</f>
        <v>1.2191502590673573</v>
      </c>
      <c r="AH21" s="773">
        <f>IF('Base Bid'!$F8="NO",+AH$8*$G21,0)</f>
        <v>0.81276683937823824</v>
      </c>
      <c r="AI21" s="775">
        <f>IF('Base Bid'!$F8="NO",+AI$8*$G21,0)</f>
        <v>1.2191502590673573</v>
      </c>
      <c r="AJ21" s="773">
        <f>IF('Base Bid'!$F8="NO",+AJ$8*$G21,0)</f>
        <v>0.81276683937823824</v>
      </c>
      <c r="AK21" s="775">
        <f>IF('Base Bid'!$F8="NO",+AK$8*$G21,0)</f>
        <v>1.2191502590673573</v>
      </c>
      <c r="AL21" s="773">
        <f>IF('Base Bid'!$F8="NO",+AL$8*$G21,0)</f>
        <v>0.86687999999999998</v>
      </c>
      <c r="AM21" s="775">
        <f>IF('Base Bid'!$F8="NO",+AM$8*$G21,0)</f>
        <v>1.3003199999999999</v>
      </c>
      <c r="AN21" s="773">
        <f>IF('Base Bid'!$F8="NO",+AN$8*$G21,0)</f>
        <v>0.99071999999999993</v>
      </c>
      <c r="AO21" s="775">
        <f>IF('Base Bid'!$F8="NO",+AO$8*$G21,0)</f>
        <v>1.4860799999999998</v>
      </c>
      <c r="AP21" s="784">
        <f t="shared" ref="AP21:AW21" si="15">+AP$8*$G21</f>
        <v>2.5061087999999998</v>
      </c>
      <c r="AQ21" s="791">
        <f t="shared" si="15"/>
        <v>3.5527631999999998</v>
      </c>
      <c r="AR21" s="784">
        <f t="shared" si="15"/>
        <v>2.5061087999999998</v>
      </c>
      <c r="AS21" s="791">
        <f t="shared" si="15"/>
        <v>3.5527631999999998</v>
      </c>
      <c r="AT21" s="784">
        <f t="shared" si="15"/>
        <v>1.2383999999999999</v>
      </c>
      <c r="AU21" s="791">
        <f t="shared" si="15"/>
        <v>1.8575999999999999</v>
      </c>
      <c r="AV21" s="773">
        <f t="shared" si="15"/>
        <v>0.90815999999999997</v>
      </c>
      <c r="AW21" s="791">
        <f t="shared" si="15"/>
        <v>1.3622399999999999</v>
      </c>
      <c r="AY21" s="155"/>
      <c r="BD21" s="155"/>
    </row>
    <row r="22" spans="1:56" ht="25.9" customHeight="1">
      <c r="A22" s="279">
        <v>8500</v>
      </c>
      <c r="B22" s="763"/>
      <c r="C22" s="764"/>
      <c r="D22" s="764"/>
      <c r="E22" s="765"/>
      <c r="F22" s="354" t="str">
        <f>'Base Bid'!F8</f>
        <v>No</v>
      </c>
      <c r="G22" s="803"/>
      <c r="H22" s="774"/>
      <c r="I22" s="776"/>
      <c r="J22" s="774"/>
      <c r="K22" s="776"/>
      <c r="L22" s="774"/>
      <c r="M22" s="776"/>
      <c r="N22" s="774"/>
      <c r="O22" s="776"/>
      <c r="P22" s="774"/>
      <c r="Q22" s="776"/>
      <c r="R22" s="774"/>
      <c r="S22" s="776"/>
      <c r="T22" s="774"/>
      <c r="U22" s="776"/>
      <c r="V22" s="774"/>
      <c r="W22" s="776"/>
      <c r="X22" s="774"/>
      <c r="Y22" s="859"/>
      <c r="Z22" s="774"/>
      <c r="AA22" s="776"/>
      <c r="AB22" s="774"/>
      <c r="AC22" s="776"/>
      <c r="AD22" s="774"/>
      <c r="AE22" s="776"/>
      <c r="AF22" s="774"/>
      <c r="AG22" s="776"/>
      <c r="AH22" s="774"/>
      <c r="AI22" s="776"/>
      <c r="AJ22" s="774"/>
      <c r="AK22" s="776"/>
      <c r="AL22" s="774"/>
      <c r="AM22" s="776"/>
      <c r="AN22" s="774"/>
      <c r="AO22" s="776"/>
      <c r="AP22" s="785"/>
      <c r="AQ22" s="859"/>
      <c r="AR22" s="785"/>
      <c r="AS22" s="859"/>
      <c r="AT22" s="785"/>
      <c r="AU22" s="859"/>
      <c r="AV22" s="774"/>
      <c r="AW22" s="859"/>
      <c r="AY22" s="155"/>
      <c r="BD22" s="155"/>
    </row>
    <row r="23" spans="1:56" ht="25.9" customHeight="1">
      <c r="A23" s="279">
        <v>7000</v>
      </c>
      <c r="B23" s="760" t="s">
        <v>358</v>
      </c>
      <c r="C23" s="761"/>
      <c r="D23" s="761"/>
      <c r="E23" s="762"/>
      <c r="F23" s="355" t="s">
        <v>171</v>
      </c>
      <c r="G23" s="802">
        <f>_xlfn.XLOOKUP(Project_State,Rate_State,PFL)</f>
        <v>2.5999999999999999E-3</v>
      </c>
      <c r="H23" s="773">
        <f t="shared" ref="H23:AW23" si="16">IFERROR(+H$8*$G23,0)</f>
        <v>7.8E-2</v>
      </c>
      <c r="I23" s="775">
        <f t="shared" si="16"/>
        <v>0.11699999999999999</v>
      </c>
      <c r="J23" s="773">
        <f t="shared" si="16"/>
        <v>7.8E-2</v>
      </c>
      <c r="K23" s="775">
        <f t="shared" si="16"/>
        <v>0.11699999999999999</v>
      </c>
      <c r="L23" s="773">
        <f t="shared" si="16"/>
        <v>0.144846</v>
      </c>
      <c r="M23" s="775">
        <f t="shared" si="16"/>
        <v>0.21076899999999998</v>
      </c>
      <c r="N23" s="773">
        <f t="shared" si="16"/>
        <v>0.14224599999999998</v>
      </c>
      <c r="O23" s="775">
        <f t="shared" si="16"/>
        <v>0.20816899999999999</v>
      </c>
      <c r="P23" s="773">
        <f t="shared" si="16"/>
        <v>0.13964599999999999</v>
      </c>
      <c r="Q23" s="775">
        <f t="shared" si="16"/>
        <v>0.20556899999999997</v>
      </c>
      <c r="R23" s="773">
        <f t="shared" si="16"/>
        <v>8.3199999999999996E-2</v>
      </c>
      <c r="S23" s="775">
        <f t="shared" si="16"/>
        <v>0.12219999999999999</v>
      </c>
      <c r="T23" s="773">
        <f t="shared" si="16"/>
        <v>8.0599999999999991E-2</v>
      </c>
      <c r="U23" s="775">
        <f t="shared" si="16"/>
        <v>0.1196</v>
      </c>
      <c r="V23" s="773">
        <f t="shared" si="16"/>
        <v>0.15784599999999999</v>
      </c>
      <c r="W23" s="775">
        <f t="shared" si="16"/>
        <v>0.223769</v>
      </c>
      <c r="X23" s="773">
        <f t="shared" si="16"/>
        <v>0.144846</v>
      </c>
      <c r="Y23" s="791">
        <f t="shared" si="16"/>
        <v>0.21076899999999998</v>
      </c>
      <c r="Z23" s="773">
        <f t="shared" si="16"/>
        <v>5.0283999999999995E-2</v>
      </c>
      <c r="AA23" s="775">
        <f t="shared" si="16"/>
        <v>7.5425999999999993E-2</v>
      </c>
      <c r="AB23" s="773">
        <f t="shared" si="16"/>
        <v>5.1191709844559577E-2</v>
      </c>
      <c r="AC23" s="775">
        <f t="shared" si="16"/>
        <v>7.6787564766839372E-2</v>
      </c>
      <c r="AD23" s="773">
        <f t="shared" si="16"/>
        <v>5.1191709844559577E-2</v>
      </c>
      <c r="AE23" s="775">
        <f t="shared" si="16"/>
        <v>7.6787564766839372E-2</v>
      </c>
      <c r="AF23" s="773">
        <f t="shared" si="16"/>
        <v>5.1191709844559577E-2</v>
      </c>
      <c r="AG23" s="775">
        <f t="shared" si="16"/>
        <v>7.6787564766839372E-2</v>
      </c>
      <c r="AH23" s="773">
        <f t="shared" si="16"/>
        <v>5.1191709844559577E-2</v>
      </c>
      <c r="AI23" s="775">
        <f t="shared" si="16"/>
        <v>7.6787564766839372E-2</v>
      </c>
      <c r="AJ23" s="773">
        <f t="shared" si="16"/>
        <v>5.1191709844559577E-2</v>
      </c>
      <c r="AK23" s="775">
        <f t="shared" si="16"/>
        <v>7.6787564766839372E-2</v>
      </c>
      <c r="AL23" s="773">
        <f t="shared" si="16"/>
        <v>5.4599999999999996E-2</v>
      </c>
      <c r="AM23" s="775">
        <f t="shared" si="16"/>
        <v>8.1900000000000001E-2</v>
      </c>
      <c r="AN23" s="773">
        <f t="shared" si="16"/>
        <v>6.2399999999999997E-2</v>
      </c>
      <c r="AO23" s="775">
        <f t="shared" si="16"/>
        <v>9.3599999999999989E-2</v>
      </c>
      <c r="AP23" s="784">
        <f t="shared" si="16"/>
        <v>0.15784599999999999</v>
      </c>
      <c r="AQ23" s="791">
        <f t="shared" si="16"/>
        <v>0.223769</v>
      </c>
      <c r="AR23" s="784">
        <f t="shared" si="16"/>
        <v>0.15784599999999999</v>
      </c>
      <c r="AS23" s="791">
        <f t="shared" si="16"/>
        <v>0.223769</v>
      </c>
      <c r="AT23" s="784">
        <f t="shared" si="16"/>
        <v>7.8E-2</v>
      </c>
      <c r="AU23" s="791">
        <f t="shared" si="16"/>
        <v>0.11699999999999999</v>
      </c>
      <c r="AV23" s="773">
        <f t="shared" si="16"/>
        <v>5.7200000000000001E-2</v>
      </c>
      <c r="AW23" s="791">
        <f t="shared" si="16"/>
        <v>8.5800000000000001E-2</v>
      </c>
      <c r="AY23" s="155"/>
      <c r="BD23" s="155"/>
    </row>
    <row r="24" spans="1:56" ht="25.9" customHeight="1" thickBot="1">
      <c r="A24" s="278"/>
      <c r="B24" s="821"/>
      <c r="C24" s="822"/>
      <c r="D24" s="822"/>
      <c r="E24" s="823"/>
      <c r="F24" s="359" t="s">
        <v>359</v>
      </c>
      <c r="G24" s="803"/>
      <c r="H24" s="774"/>
      <c r="I24" s="777"/>
      <c r="J24" s="774"/>
      <c r="K24" s="777"/>
      <c r="L24" s="774"/>
      <c r="M24" s="777"/>
      <c r="N24" s="774"/>
      <c r="O24" s="777"/>
      <c r="P24" s="774"/>
      <c r="Q24" s="777"/>
      <c r="R24" s="774"/>
      <c r="S24" s="777"/>
      <c r="T24" s="774"/>
      <c r="U24" s="777"/>
      <c r="V24" s="774"/>
      <c r="W24" s="777"/>
      <c r="X24" s="774"/>
      <c r="Y24" s="792"/>
      <c r="Z24" s="774"/>
      <c r="AA24" s="777"/>
      <c r="AB24" s="774"/>
      <c r="AC24" s="777"/>
      <c r="AD24" s="774"/>
      <c r="AE24" s="777"/>
      <c r="AF24" s="774"/>
      <c r="AG24" s="777"/>
      <c r="AH24" s="774"/>
      <c r="AI24" s="777"/>
      <c r="AJ24" s="774"/>
      <c r="AK24" s="777"/>
      <c r="AL24" s="774"/>
      <c r="AM24" s="777"/>
      <c r="AN24" s="774"/>
      <c r="AO24" s="777"/>
      <c r="AP24" s="785"/>
      <c r="AQ24" s="792"/>
      <c r="AR24" s="785"/>
      <c r="AS24" s="792"/>
      <c r="AT24" s="785"/>
      <c r="AU24" s="792"/>
      <c r="AV24" s="774"/>
      <c r="AW24" s="792"/>
      <c r="AY24" s="155"/>
      <c r="BD24" s="155"/>
    </row>
    <row r="25" spans="1:56" ht="15.75" thickBot="1">
      <c r="A25" s="278"/>
      <c r="B25" s="811" t="s">
        <v>360</v>
      </c>
      <c r="C25" s="812"/>
      <c r="D25" s="812"/>
      <c r="E25" s="812"/>
      <c r="F25" s="812"/>
      <c r="G25" s="813"/>
      <c r="H25" s="271">
        <f t="shared" ref="H25:AW25" si="17">SUM(H26:H28)</f>
        <v>7.29</v>
      </c>
      <c r="I25" s="273">
        <f t="shared" si="17"/>
        <v>7.29</v>
      </c>
      <c r="J25" s="271">
        <f t="shared" ref="J25" si="18">SUM(J26:J28)</f>
        <v>7.29</v>
      </c>
      <c r="K25" s="273">
        <f t="shared" ref="K25" si="19">SUM(K26:K28)</f>
        <v>7.29</v>
      </c>
      <c r="L25" s="271">
        <f t="shared" si="17"/>
        <v>7.29</v>
      </c>
      <c r="M25" s="273">
        <f t="shared" si="17"/>
        <v>7.29</v>
      </c>
      <c r="N25" s="271">
        <f t="shared" si="17"/>
        <v>7.29</v>
      </c>
      <c r="O25" s="273">
        <f t="shared" si="17"/>
        <v>7.29</v>
      </c>
      <c r="P25" s="271">
        <f t="shared" si="17"/>
        <v>7.29</v>
      </c>
      <c r="Q25" s="273">
        <f t="shared" si="17"/>
        <v>7.29</v>
      </c>
      <c r="R25" s="271">
        <f t="shared" si="17"/>
        <v>7.29</v>
      </c>
      <c r="S25" s="273">
        <f t="shared" si="17"/>
        <v>7.29</v>
      </c>
      <c r="T25" s="271">
        <f t="shared" si="17"/>
        <v>7.29</v>
      </c>
      <c r="U25" s="273">
        <f t="shared" si="17"/>
        <v>7.29</v>
      </c>
      <c r="V25" s="271">
        <f t="shared" si="17"/>
        <v>7.2900000000000009</v>
      </c>
      <c r="W25" s="273">
        <f t="shared" si="17"/>
        <v>8.050650000000001</v>
      </c>
      <c r="X25" s="271">
        <f t="shared" si="17"/>
        <v>7.2900000000000009</v>
      </c>
      <c r="Y25" s="270">
        <f t="shared" si="17"/>
        <v>8.050650000000001</v>
      </c>
      <c r="Z25" s="271">
        <f t="shared" si="17"/>
        <v>7.29</v>
      </c>
      <c r="AA25" s="273">
        <f t="shared" si="17"/>
        <v>7.29</v>
      </c>
      <c r="AB25" s="271">
        <f t="shared" si="17"/>
        <v>7.29</v>
      </c>
      <c r="AC25" s="273">
        <f t="shared" si="17"/>
        <v>7.29</v>
      </c>
      <c r="AD25" s="271">
        <f t="shared" si="17"/>
        <v>7.29</v>
      </c>
      <c r="AE25" s="273">
        <f t="shared" si="17"/>
        <v>7.29</v>
      </c>
      <c r="AF25" s="271">
        <f t="shared" si="17"/>
        <v>7.29</v>
      </c>
      <c r="AG25" s="273">
        <f t="shared" si="17"/>
        <v>7.29</v>
      </c>
      <c r="AH25" s="271">
        <f t="shared" si="17"/>
        <v>7.29</v>
      </c>
      <c r="AI25" s="273">
        <f t="shared" si="17"/>
        <v>7.29</v>
      </c>
      <c r="AJ25" s="271">
        <f t="shared" si="17"/>
        <v>7.29</v>
      </c>
      <c r="AK25" s="273">
        <f t="shared" si="17"/>
        <v>7.29</v>
      </c>
      <c r="AL25" s="271">
        <f t="shared" si="17"/>
        <v>7.29</v>
      </c>
      <c r="AM25" s="273">
        <f t="shared" si="17"/>
        <v>7.29</v>
      </c>
      <c r="AN25" s="271">
        <f t="shared" si="17"/>
        <v>7.29</v>
      </c>
      <c r="AO25" s="273">
        <f t="shared" si="17"/>
        <v>7.29</v>
      </c>
      <c r="AP25" s="272">
        <f t="shared" si="17"/>
        <v>7.2900000000000009</v>
      </c>
      <c r="AQ25" s="270">
        <f t="shared" si="17"/>
        <v>8.050650000000001</v>
      </c>
      <c r="AR25" s="272">
        <f t="shared" si="17"/>
        <v>7.2900000000000009</v>
      </c>
      <c r="AS25" s="270">
        <f t="shared" si="17"/>
        <v>8.050650000000001</v>
      </c>
      <c r="AT25" s="272">
        <f t="shared" si="17"/>
        <v>7.29</v>
      </c>
      <c r="AU25" s="270">
        <f t="shared" si="17"/>
        <v>7.29</v>
      </c>
      <c r="AV25" s="271">
        <f t="shared" si="17"/>
        <v>7.29</v>
      </c>
      <c r="AW25" s="270">
        <f t="shared" si="17"/>
        <v>7.29</v>
      </c>
      <c r="AY25" s="155"/>
      <c r="BD25" s="155"/>
    </row>
    <row r="26" spans="1:56" ht="30.75" customHeight="1">
      <c r="A26" s="278"/>
      <c r="B26" s="818" t="s">
        <v>361</v>
      </c>
      <c r="C26" s="819"/>
      <c r="D26" s="819"/>
      <c r="E26" s="819"/>
      <c r="F26" s="819"/>
      <c r="G26" s="820"/>
      <c r="H26" s="275">
        <f>0.25+0.07</f>
        <v>0.32</v>
      </c>
      <c r="I26" s="277">
        <f>+H26</f>
        <v>0.32</v>
      </c>
      <c r="J26" s="275">
        <f>0.25+0.07</f>
        <v>0.32</v>
      </c>
      <c r="K26" s="277">
        <f>+J26</f>
        <v>0.32</v>
      </c>
      <c r="L26" s="275">
        <f>0.25+0.07</f>
        <v>0.32</v>
      </c>
      <c r="M26" s="277">
        <f>+L26</f>
        <v>0.32</v>
      </c>
      <c r="N26" s="275">
        <f>0.25+0.07</f>
        <v>0.32</v>
      </c>
      <c r="O26" s="277">
        <f>+N26</f>
        <v>0.32</v>
      </c>
      <c r="P26" s="275">
        <f>0.25+0.07</f>
        <v>0.32</v>
      </c>
      <c r="Q26" s="277">
        <f>+P26</f>
        <v>0.32</v>
      </c>
      <c r="R26" s="275">
        <f>0.25+0.07</f>
        <v>0.32</v>
      </c>
      <c r="S26" s="277">
        <f>+R26</f>
        <v>0.32</v>
      </c>
      <c r="T26" s="275">
        <f>0.25+0.07</f>
        <v>0.32</v>
      </c>
      <c r="U26" s="277">
        <f>+T26</f>
        <v>0.32</v>
      </c>
      <c r="V26" s="275">
        <f>0.25+0.07+V8*0.03</f>
        <v>2.1412999999999998</v>
      </c>
      <c r="W26" s="277">
        <f>0.25+0.07+W8*0.03</f>
        <v>2.9019499999999998</v>
      </c>
      <c r="X26" s="275">
        <f>0.25+0.07+X8*0.03</f>
        <v>1.9913000000000001</v>
      </c>
      <c r="Y26" s="274">
        <f>0.25+0.07+Y8*0.03</f>
        <v>2.7519499999999999</v>
      </c>
      <c r="Z26" s="275">
        <f>0.25+0.07</f>
        <v>0.32</v>
      </c>
      <c r="AA26" s="277">
        <f>+Z26</f>
        <v>0.32</v>
      </c>
      <c r="AB26" s="275">
        <f>0.25+0.07</f>
        <v>0.32</v>
      </c>
      <c r="AC26" s="277">
        <f>+AB26</f>
        <v>0.32</v>
      </c>
      <c r="AD26" s="275">
        <f>0.25+0.07</f>
        <v>0.32</v>
      </c>
      <c r="AE26" s="277">
        <f>+AD26</f>
        <v>0.32</v>
      </c>
      <c r="AF26" s="275">
        <f>0.25+0.07</f>
        <v>0.32</v>
      </c>
      <c r="AG26" s="277">
        <f>+AF26</f>
        <v>0.32</v>
      </c>
      <c r="AH26" s="275">
        <f>0.25+0.07</f>
        <v>0.32</v>
      </c>
      <c r="AI26" s="277">
        <f>+AH26</f>
        <v>0.32</v>
      </c>
      <c r="AJ26" s="275">
        <f>0.25+0.07</f>
        <v>0.32</v>
      </c>
      <c r="AK26" s="277">
        <f>+AJ26</f>
        <v>0.32</v>
      </c>
      <c r="AL26" s="275">
        <f>0.25+0.07</f>
        <v>0.32</v>
      </c>
      <c r="AM26" s="277">
        <f>+AL26</f>
        <v>0.32</v>
      </c>
      <c r="AN26" s="275">
        <f>0.25+0.07</f>
        <v>0.32</v>
      </c>
      <c r="AO26" s="277">
        <f>+AN26</f>
        <v>0.32</v>
      </c>
      <c r="AP26" s="276">
        <f>0.25+0.07+AP8*0.03</f>
        <v>2.1412999999999998</v>
      </c>
      <c r="AQ26" s="274">
        <f>0.25+0.07+AQ8*0.03</f>
        <v>2.9019499999999998</v>
      </c>
      <c r="AR26" s="276">
        <f>0.25+0.07+AR8*0.03</f>
        <v>2.1412999999999998</v>
      </c>
      <c r="AS26" s="274">
        <f>0.25+0.07+AS8*0.03</f>
        <v>2.9019499999999998</v>
      </c>
      <c r="AT26" s="276">
        <f>0.25+0.07</f>
        <v>0.32</v>
      </c>
      <c r="AU26" s="274">
        <f>+AT26</f>
        <v>0.32</v>
      </c>
      <c r="AV26" s="275">
        <f>0.25+0.07</f>
        <v>0.32</v>
      </c>
      <c r="AW26" s="274">
        <f>+AV26</f>
        <v>0.32</v>
      </c>
      <c r="AY26" s="155"/>
      <c r="BD26" s="155"/>
    </row>
    <row r="27" spans="1:56" ht="36" customHeight="1" thickBot="1">
      <c r="A27" s="278"/>
      <c r="B27" s="815" t="s">
        <v>362</v>
      </c>
      <c r="C27" s="816"/>
      <c r="D27" s="816"/>
      <c r="E27" s="816"/>
      <c r="F27" s="816"/>
      <c r="G27" s="817"/>
      <c r="H27" s="275">
        <v>2.4</v>
      </c>
      <c r="I27" s="277">
        <f>+H27</f>
        <v>2.4</v>
      </c>
      <c r="J27" s="275">
        <v>2.4</v>
      </c>
      <c r="K27" s="277">
        <f>+J27</f>
        <v>2.4</v>
      </c>
      <c r="L27" s="275">
        <v>2.4</v>
      </c>
      <c r="M27" s="277">
        <f>+L27</f>
        <v>2.4</v>
      </c>
      <c r="N27" s="275">
        <v>2.4</v>
      </c>
      <c r="O27" s="277">
        <f>+N27</f>
        <v>2.4</v>
      </c>
      <c r="P27" s="275">
        <v>2.4</v>
      </c>
      <c r="Q27" s="277">
        <f>+P27</f>
        <v>2.4</v>
      </c>
      <c r="R27" s="275">
        <v>2.4</v>
      </c>
      <c r="S27" s="277">
        <f>+R27</f>
        <v>2.4</v>
      </c>
      <c r="T27" s="275">
        <v>2.4</v>
      </c>
      <c r="U27" s="277">
        <f>+T27</f>
        <v>2.4</v>
      </c>
      <c r="V27" s="275">
        <v>2.4</v>
      </c>
      <c r="W27" s="277">
        <f>+V27</f>
        <v>2.4</v>
      </c>
      <c r="X27" s="275">
        <v>2.4</v>
      </c>
      <c r="Y27" s="274">
        <f>+X27</f>
        <v>2.4</v>
      </c>
      <c r="Z27" s="275">
        <v>2.4</v>
      </c>
      <c r="AA27" s="277">
        <f>+Z27</f>
        <v>2.4</v>
      </c>
      <c r="AB27" s="275">
        <v>2.4</v>
      </c>
      <c r="AC27" s="277">
        <f>+AB27</f>
        <v>2.4</v>
      </c>
      <c r="AD27" s="275">
        <v>2.4</v>
      </c>
      <c r="AE27" s="277">
        <f>+AD27</f>
        <v>2.4</v>
      </c>
      <c r="AF27" s="275">
        <v>2.4</v>
      </c>
      <c r="AG27" s="277">
        <f>+AF27</f>
        <v>2.4</v>
      </c>
      <c r="AH27" s="275">
        <v>2.4</v>
      </c>
      <c r="AI27" s="277">
        <f>+AH27</f>
        <v>2.4</v>
      </c>
      <c r="AJ27" s="275">
        <v>2.4</v>
      </c>
      <c r="AK27" s="277">
        <f>+AJ27</f>
        <v>2.4</v>
      </c>
      <c r="AL27" s="275">
        <v>2.4</v>
      </c>
      <c r="AM27" s="277">
        <f>+AL27</f>
        <v>2.4</v>
      </c>
      <c r="AN27" s="275">
        <v>2.4</v>
      </c>
      <c r="AO27" s="277">
        <f>+AN27</f>
        <v>2.4</v>
      </c>
      <c r="AP27" s="276">
        <v>2.4</v>
      </c>
      <c r="AQ27" s="274">
        <f>+AP27</f>
        <v>2.4</v>
      </c>
      <c r="AR27" s="276">
        <v>2.4</v>
      </c>
      <c r="AS27" s="274">
        <f>+AR27</f>
        <v>2.4</v>
      </c>
      <c r="AT27" s="276">
        <v>2.4</v>
      </c>
      <c r="AU27" s="274">
        <f>+AT27</f>
        <v>2.4</v>
      </c>
      <c r="AV27" s="275">
        <v>2.4</v>
      </c>
      <c r="AW27" s="274">
        <f>+AV27</f>
        <v>2.4</v>
      </c>
      <c r="AY27" s="155"/>
      <c r="BD27" s="155"/>
    </row>
    <row r="28" spans="1:56" ht="36" customHeight="1" thickBot="1">
      <c r="A28" s="236"/>
      <c r="B28" s="833" t="s">
        <v>363</v>
      </c>
      <c r="C28" s="834"/>
      <c r="D28" s="834"/>
      <c r="E28" s="834"/>
      <c r="F28" s="834"/>
      <c r="G28" s="835"/>
      <c r="H28" s="275">
        <f>7.29-H27-H26</f>
        <v>4.57</v>
      </c>
      <c r="I28" s="277">
        <f>+H28</f>
        <v>4.57</v>
      </c>
      <c r="J28" s="275">
        <f>7.29-J27-J26</f>
        <v>4.57</v>
      </c>
      <c r="K28" s="277">
        <f>+J28</f>
        <v>4.57</v>
      </c>
      <c r="L28" s="275">
        <f>7.29-L27-L26</f>
        <v>4.57</v>
      </c>
      <c r="M28" s="277">
        <f>+L28</f>
        <v>4.57</v>
      </c>
      <c r="N28" s="275">
        <f>7.29-N27-N26</f>
        <v>4.57</v>
      </c>
      <c r="O28" s="277">
        <f>+N28</f>
        <v>4.57</v>
      </c>
      <c r="P28" s="275">
        <f>7.29-P27-P26</f>
        <v>4.57</v>
      </c>
      <c r="Q28" s="277">
        <f>+P28</f>
        <v>4.57</v>
      </c>
      <c r="R28" s="275">
        <f>7.29-R27-R26</f>
        <v>4.57</v>
      </c>
      <c r="S28" s="277">
        <f>+R28</f>
        <v>4.57</v>
      </c>
      <c r="T28" s="275">
        <f>7.29-T27-T26</f>
        <v>4.57</v>
      </c>
      <c r="U28" s="277">
        <f>+T28</f>
        <v>4.57</v>
      </c>
      <c r="V28" s="275">
        <f>7.29-V27-V26</f>
        <v>2.7487000000000008</v>
      </c>
      <c r="W28" s="277">
        <f>+V28</f>
        <v>2.7487000000000008</v>
      </c>
      <c r="X28" s="275">
        <f>7.29-X27-X26</f>
        <v>2.8987000000000007</v>
      </c>
      <c r="Y28" s="274">
        <f>+X28</f>
        <v>2.8987000000000007</v>
      </c>
      <c r="Z28" s="275">
        <f>7.29-Z27-Z26</f>
        <v>4.57</v>
      </c>
      <c r="AA28" s="277">
        <f>+Z28</f>
        <v>4.57</v>
      </c>
      <c r="AB28" s="275">
        <f>7.29-AB27-AB26</f>
        <v>4.57</v>
      </c>
      <c r="AC28" s="277">
        <f>+AB28</f>
        <v>4.57</v>
      </c>
      <c r="AD28" s="275">
        <f>7.29-AD27-AD26</f>
        <v>4.57</v>
      </c>
      <c r="AE28" s="277">
        <f>+AD28</f>
        <v>4.57</v>
      </c>
      <c r="AF28" s="275">
        <f>7.29-AF27-AF26</f>
        <v>4.57</v>
      </c>
      <c r="AG28" s="277">
        <f>+AF28</f>
        <v>4.57</v>
      </c>
      <c r="AH28" s="275">
        <f>7.29-AH27-AH26</f>
        <v>4.57</v>
      </c>
      <c r="AI28" s="277">
        <f>+AH28</f>
        <v>4.57</v>
      </c>
      <c r="AJ28" s="275">
        <f>7.29-AJ27-AJ26</f>
        <v>4.57</v>
      </c>
      <c r="AK28" s="277">
        <f>+AJ28</f>
        <v>4.57</v>
      </c>
      <c r="AL28" s="275">
        <f>7.29-AL27-AL26</f>
        <v>4.57</v>
      </c>
      <c r="AM28" s="277">
        <f>+AL28</f>
        <v>4.57</v>
      </c>
      <c r="AN28" s="275">
        <f>7.29-AN27-AN26</f>
        <v>4.57</v>
      </c>
      <c r="AO28" s="277">
        <f>+AN28</f>
        <v>4.57</v>
      </c>
      <c r="AP28" s="276">
        <f>7.29-AP27-AP26</f>
        <v>2.7487000000000008</v>
      </c>
      <c r="AQ28" s="274">
        <f>+AP28</f>
        <v>2.7487000000000008</v>
      </c>
      <c r="AR28" s="276">
        <f>7.29-AR27-AR26</f>
        <v>2.7487000000000008</v>
      </c>
      <c r="AS28" s="274">
        <f>+AR28</f>
        <v>2.7487000000000008</v>
      </c>
      <c r="AT28" s="276">
        <f>7.29-AT27-AT26</f>
        <v>4.57</v>
      </c>
      <c r="AU28" s="274">
        <f>+AT28</f>
        <v>4.57</v>
      </c>
      <c r="AV28" s="275">
        <f>7.29-AV27-AV26</f>
        <v>4.57</v>
      </c>
      <c r="AW28" s="274">
        <f>+AV28</f>
        <v>4.57</v>
      </c>
      <c r="AY28" s="155"/>
      <c r="BD28" s="155"/>
    </row>
    <row r="29" spans="1:56" ht="36" customHeight="1" thickBot="1">
      <c r="A29" s="240"/>
      <c r="B29" s="811" t="s">
        <v>364</v>
      </c>
      <c r="C29" s="812"/>
      <c r="D29" s="812"/>
      <c r="E29" s="812"/>
      <c r="F29" s="812"/>
      <c r="G29" s="813"/>
      <c r="H29" s="271">
        <f t="shared" ref="H29:AW29" si="20">SUM(H30:H34)</f>
        <v>6.5625</v>
      </c>
      <c r="I29" s="273">
        <f t="shared" si="20"/>
        <v>6.5625</v>
      </c>
      <c r="J29" s="271">
        <f t="shared" ref="J29" si="21">SUM(J30:J34)</f>
        <v>6.5625</v>
      </c>
      <c r="K29" s="273">
        <f t="shared" ref="K29" si="22">SUM(K30:K34)</f>
        <v>6.5625</v>
      </c>
      <c r="L29" s="271">
        <f t="shared" si="20"/>
        <v>6.7469262295081966</v>
      </c>
      <c r="M29" s="273">
        <f t="shared" si="20"/>
        <v>6.5625</v>
      </c>
      <c r="N29" s="271">
        <f t="shared" si="20"/>
        <v>6.7469262295081966</v>
      </c>
      <c r="O29" s="273">
        <f t="shared" si="20"/>
        <v>6.5625</v>
      </c>
      <c r="P29" s="271">
        <f t="shared" si="20"/>
        <v>6.749221991701245</v>
      </c>
      <c r="Q29" s="273">
        <f t="shared" si="20"/>
        <v>6.5625</v>
      </c>
      <c r="R29" s="271">
        <f t="shared" si="20"/>
        <v>6.749221991701245</v>
      </c>
      <c r="S29" s="273">
        <f t="shared" si="20"/>
        <v>6.5625</v>
      </c>
      <c r="T29" s="271">
        <f t="shared" si="20"/>
        <v>6.749221991701245</v>
      </c>
      <c r="U29" s="273">
        <f t="shared" si="20"/>
        <v>6.5625</v>
      </c>
      <c r="V29" s="271">
        <f t="shared" si="20"/>
        <v>8.0122950819672134</v>
      </c>
      <c r="W29" s="273">
        <f t="shared" si="20"/>
        <v>3.125</v>
      </c>
      <c r="X29" s="271">
        <f t="shared" si="20"/>
        <v>8.0731327800829877</v>
      </c>
      <c r="Y29" s="270">
        <f t="shared" si="20"/>
        <v>3.125</v>
      </c>
      <c r="Z29" s="271">
        <f t="shared" si="20"/>
        <v>6.5625</v>
      </c>
      <c r="AA29" s="273">
        <f t="shared" si="20"/>
        <v>6.5625</v>
      </c>
      <c r="AB29" s="271">
        <f t="shared" si="20"/>
        <v>6.5625</v>
      </c>
      <c r="AC29" s="273">
        <f t="shared" si="20"/>
        <v>6.5625</v>
      </c>
      <c r="AD29" s="271">
        <f t="shared" si="20"/>
        <v>6.5625</v>
      </c>
      <c r="AE29" s="273">
        <f t="shared" si="20"/>
        <v>6.5625</v>
      </c>
      <c r="AF29" s="271">
        <f t="shared" si="20"/>
        <v>6.5625</v>
      </c>
      <c r="AG29" s="273">
        <f t="shared" si="20"/>
        <v>6.5625</v>
      </c>
      <c r="AH29" s="271">
        <f t="shared" si="20"/>
        <v>6.5625</v>
      </c>
      <c r="AI29" s="273">
        <f t="shared" si="20"/>
        <v>6.5625</v>
      </c>
      <c r="AJ29" s="271">
        <f t="shared" si="20"/>
        <v>6.5625</v>
      </c>
      <c r="AK29" s="273">
        <f t="shared" si="20"/>
        <v>6.5625</v>
      </c>
      <c r="AL29" s="271">
        <f t="shared" si="20"/>
        <v>6.5625</v>
      </c>
      <c r="AM29" s="273">
        <f t="shared" si="20"/>
        <v>6.5625</v>
      </c>
      <c r="AN29" s="271">
        <f t="shared" si="20"/>
        <v>6.5625</v>
      </c>
      <c r="AO29" s="273">
        <f t="shared" si="20"/>
        <v>6.5625</v>
      </c>
      <c r="AP29" s="272">
        <f t="shared" si="20"/>
        <v>8.0731327800829877</v>
      </c>
      <c r="AQ29" s="270">
        <f t="shared" si="20"/>
        <v>3.125</v>
      </c>
      <c r="AR29" s="272">
        <f t="shared" si="20"/>
        <v>1.2136929460580914</v>
      </c>
      <c r="AS29" s="270">
        <f t="shared" si="20"/>
        <v>0</v>
      </c>
      <c r="AT29" s="272">
        <f t="shared" si="20"/>
        <v>0</v>
      </c>
      <c r="AU29" s="270">
        <f t="shared" si="20"/>
        <v>0</v>
      </c>
      <c r="AV29" s="271">
        <f t="shared" si="20"/>
        <v>0.59128630705394192</v>
      </c>
      <c r="AW29" s="270">
        <f t="shared" si="20"/>
        <v>0</v>
      </c>
      <c r="AY29" s="155"/>
      <c r="BD29" s="155"/>
    </row>
    <row r="30" spans="1:56" ht="36" customHeight="1" thickBot="1">
      <c r="A30" s="236"/>
      <c r="B30" s="832" t="s">
        <v>365</v>
      </c>
      <c r="C30" s="830"/>
      <c r="D30" s="830"/>
      <c r="E30" s="830"/>
      <c r="F30" s="830"/>
      <c r="G30" s="831"/>
      <c r="H30" s="269">
        <v>0</v>
      </c>
      <c r="I30" s="268"/>
      <c r="J30" s="269">
        <v>0</v>
      </c>
      <c r="K30" s="268"/>
      <c r="L30" s="269">
        <v>0</v>
      </c>
      <c r="M30" s="268"/>
      <c r="N30" s="269">
        <v>0</v>
      </c>
      <c r="O30" s="268"/>
      <c r="P30" s="269">
        <v>0</v>
      </c>
      <c r="Q30" s="268"/>
      <c r="R30" s="269">
        <v>0</v>
      </c>
      <c r="S30" s="268"/>
      <c r="T30" s="269">
        <v>0</v>
      </c>
      <c r="U30" s="268"/>
      <c r="V30" s="265">
        <f>100*12/BO6</f>
        <v>0.61475409836065575</v>
      </c>
      <c r="W30" s="268"/>
      <c r="X30" s="265">
        <f>100*12/BQ6</f>
        <v>0.62240663900414939</v>
      </c>
      <c r="Y30" s="264"/>
      <c r="Z30" s="269">
        <v>0</v>
      </c>
      <c r="AA30" s="268"/>
      <c r="AB30" s="269">
        <v>0</v>
      </c>
      <c r="AC30" s="268"/>
      <c r="AD30" s="269">
        <v>0</v>
      </c>
      <c r="AE30" s="268"/>
      <c r="AF30" s="269">
        <v>0</v>
      </c>
      <c r="AG30" s="268"/>
      <c r="AH30" s="269">
        <v>0</v>
      </c>
      <c r="AI30" s="268"/>
      <c r="AJ30" s="269">
        <v>0</v>
      </c>
      <c r="AK30" s="268"/>
      <c r="AL30" s="269">
        <v>0</v>
      </c>
      <c r="AM30" s="268"/>
      <c r="AN30" s="269">
        <v>0</v>
      </c>
      <c r="AO30" s="268"/>
      <c r="AP30" s="267">
        <f>100*12/BS6</f>
        <v>0.62240663900414939</v>
      </c>
      <c r="AQ30" s="264"/>
      <c r="AR30" s="267">
        <f>100*12/BU6</f>
        <v>0.62240663900414939</v>
      </c>
      <c r="AS30" s="264"/>
      <c r="AT30" s="266">
        <v>0</v>
      </c>
      <c r="AU30" s="264"/>
      <c r="AV30" s="269">
        <v>0</v>
      </c>
      <c r="AW30" s="264"/>
    </row>
    <row r="31" spans="1:56" ht="36" customHeight="1">
      <c r="A31" s="245"/>
      <c r="B31" s="829" t="s">
        <v>152</v>
      </c>
      <c r="C31" s="830"/>
      <c r="D31" s="830"/>
      <c r="E31" s="830"/>
      <c r="F31" s="830"/>
      <c r="G31" s="831"/>
      <c r="H31" s="265">
        <f t="shared" ref="H31:U31" si="23">Lift_percentage*Lift_cost/160</f>
        <v>3.4375</v>
      </c>
      <c r="I31" s="265">
        <f t="shared" si="23"/>
        <v>3.4375</v>
      </c>
      <c r="J31" s="265">
        <f t="shared" si="23"/>
        <v>3.4375</v>
      </c>
      <c r="K31" s="265">
        <f t="shared" si="23"/>
        <v>3.4375</v>
      </c>
      <c r="L31" s="265">
        <f t="shared" si="23"/>
        <v>3.4375</v>
      </c>
      <c r="M31" s="265">
        <f t="shared" si="23"/>
        <v>3.4375</v>
      </c>
      <c r="N31" s="265">
        <f t="shared" si="23"/>
        <v>3.4375</v>
      </c>
      <c r="O31" s="265">
        <f t="shared" si="23"/>
        <v>3.4375</v>
      </c>
      <c r="P31" s="265">
        <f t="shared" si="23"/>
        <v>3.4375</v>
      </c>
      <c r="Q31" s="265">
        <f t="shared" si="23"/>
        <v>3.4375</v>
      </c>
      <c r="R31" s="265">
        <f t="shared" si="23"/>
        <v>3.4375</v>
      </c>
      <c r="S31" s="265">
        <f t="shared" si="23"/>
        <v>3.4375</v>
      </c>
      <c r="T31" s="265">
        <f t="shared" si="23"/>
        <v>3.4375</v>
      </c>
      <c r="U31" s="265">
        <f t="shared" si="23"/>
        <v>3.4375</v>
      </c>
      <c r="V31" s="269"/>
      <c r="W31" s="269"/>
      <c r="X31" s="269"/>
      <c r="Y31" s="269"/>
      <c r="Z31" s="265">
        <f t="shared" ref="Z31:AO31" si="24">Lift_percentage*Lift_cost/160</f>
        <v>3.4375</v>
      </c>
      <c r="AA31" s="265">
        <f t="shared" si="24"/>
        <v>3.4375</v>
      </c>
      <c r="AB31" s="265">
        <f t="shared" si="24"/>
        <v>3.4375</v>
      </c>
      <c r="AC31" s="265">
        <f t="shared" si="24"/>
        <v>3.4375</v>
      </c>
      <c r="AD31" s="265">
        <f t="shared" si="24"/>
        <v>3.4375</v>
      </c>
      <c r="AE31" s="265">
        <f t="shared" si="24"/>
        <v>3.4375</v>
      </c>
      <c r="AF31" s="265">
        <f t="shared" si="24"/>
        <v>3.4375</v>
      </c>
      <c r="AG31" s="265">
        <f t="shared" si="24"/>
        <v>3.4375</v>
      </c>
      <c r="AH31" s="265">
        <f t="shared" si="24"/>
        <v>3.4375</v>
      </c>
      <c r="AI31" s="265">
        <f t="shared" si="24"/>
        <v>3.4375</v>
      </c>
      <c r="AJ31" s="265">
        <f t="shared" si="24"/>
        <v>3.4375</v>
      </c>
      <c r="AK31" s="265">
        <f t="shared" si="24"/>
        <v>3.4375</v>
      </c>
      <c r="AL31" s="265">
        <f t="shared" si="24"/>
        <v>3.4375</v>
      </c>
      <c r="AM31" s="265">
        <f t="shared" si="24"/>
        <v>3.4375</v>
      </c>
      <c r="AN31" s="265">
        <f t="shared" si="24"/>
        <v>3.4375</v>
      </c>
      <c r="AO31" s="265">
        <f t="shared" si="24"/>
        <v>3.4375</v>
      </c>
      <c r="AP31" s="269"/>
      <c r="AQ31" s="269"/>
      <c r="AR31" s="269"/>
      <c r="AS31" s="269"/>
      <c r="AT31" s="269"/>
      <c r="AU31" s="269"/>
      <c r="AV31" s="269"/>
      <c r="AW31" s="269"/>
    </row>
    <row r="32" spans="1:56" ht="36" customHeight="1">
      <c r="A32" s="245"/>
      <c r="B32" s="829" t="s">
        <v>214</v>
      </c>
      <c r="C32" s="830"/>
      <c r="D32" s="830"/>
      <c r="E32" s="830"/>
      <c r="F32" s="830"/>
      <c r="G32" s="831"/>
      <c r="H32" s="265">
        <f t="shared" ref="H32:AQ32" si="25">IF(Parking="Yes",Parking_cost/8,"")</f>
        <v>3.125</v>
      </c>
      <c r="I32" s="265">
        <f t="shared" si="25"/>
        <v>3.125</v>
      </c>
      <c r="J32" s="265">
        <f t="shared" si="25"/>
        <v>3.125</v>
      </c>
      <c r="K32" s="265">
        <f t="shared" si="25"/>
        <v>3.125</v>
      </c>
      <c r="L32" s="265">
        <f t="shared" si="25"/>
        <v>3.125</v>
      </c>
      <c r="M32" s="265">
        <f t="shared" si="25"/>
        <v>3.125</v>
      </c>
      <c r="N32" s="265">
        <f t="shared" si="25"/>
        <v>3.125</v>
      </c>
      <c r="O32" s="265">
        <f t="shared" si="25"/>
        <v>3.125</v>
      </c>
      <c r="P32" s="265">
        <f t="shared" si="25"/>
        <v>3.125</v>
      </c>
      <c r="Q32" s="265">
        <f t="shared" si="25"/>
        <v>3.125</v>
      </c>
      <c r="R32" s="265">
        <f t="shared" si="25"/>
        <v>3.125</v>
      </c>
      <c r="S32" s="265">
        <f t="shared" si="25"/>
        <v>3.125</v>
      </c>
      <c r="T32" s="265">
        <f t="shared" si="25"/>
        <v>3.125</v>
      </c>
      <c r="U32" s="265">
        <f t="shared" si="25"/>
        <v>3.125</v>
      </c>
      <c r="V32" s="265">
        <f t="shared" si="25"/>
        <v>3.125</v>
      </c>
      <c r="W32" s="265">
        <f t="shared" si="25"/>
        <v>3.125</v>
      </c>
      <c r="X32" s="265">
        <f t="shared" si="25"/>
        <v>3.125</v>
      </c>
      <c r="Y32" s="265">
        <f t="shared" si="25"/>
        <v>3.125</v>
      </c>
      <c r="Z32" s="265">
        <f t="shared" si="25"/>
        <v>3.125</v>
      </c>
      <c r="AA32" s="265">
        <f t="shared" si="25"/>
        <v>3.125</v>
      </c>
      <c r="AB32" s="265">
        <f t="shared" si="25"/>
        <v>3.125</v>
      </c>
      <c r="AC32" s="265">
        <f t="shared" si="25"/>
        <v>3.125</v>
      </c>
      <c r="AD32" s="265">
        <f t="shared" si="25"/>
        <v>3.125</v>
      </c>
      <c r="AE32" s="265">
        <f t="shared" si="25"/>
        <v>3.125</v>
      </c>
      <c r="AF32" s="265">
        <f t="shared" si="25"/>
        <v>3.125</v>
      </c>
      <c r="AG32" s="265">
        <f t="shared" si="25"/>
        <v>3.125</v>
      </c>
      <c r="AH32" s="265">
        <f t="shared" si="25"/>
        <v>3.125</v>
      </c>
      <c r="AI32" s="265">
        <f t="shared" si="25"/>
        <v>3.125</v>
      </c>
      <c r="AJ32" s="265">
        <f t="shared" si="25"/>
        <v>3.125</v>
      </c>
      <c r="AK32" s="265">
        <f t="shared" si="25"/>
        <v>3.125</v>
      </c>
      <c r="AL32" s="265">
        <f t="shared" si="25"/>
        <v>3.125</v>
      </c>
      <c r="AM32" s="265">
        <f t="shared" si="25"/>
        <v>3.125</v>
      </c>
      <c r="AN32" s="265">
        <f t="shared" si="25"/>
        <v>3.125</v>
      </c>
      <c r="AO32" s="265">
        <f t="shared" si="25"/>
        <v>3.125</v>
      </c>
      <c r="AP32" s="265">
        <f t="shared" si="25"/>
        <v>3.125</v>
      </c>
      <c r="AQ32" s="265">
        <f t="shared" si="25"/>
        <v>3.125</v>
      </c>
      <c r="AR32" s="267"/>
      <c r="AS32" s="264"/>
      <c r="AT32" s="266"/>
      <c r="AU32" s="264"/>
      <c r="AV32" s="269"/>
      <c r="AW32" s="264"/>
    </row>
    <row r="33" spans="1:50" ht="36" customHeight="1">
      <c r="A33" s="263"/>
      <c r="B33" s="815" t="s">
        <v>366</v>
      </c>
      <c r="C33" s="816"/>
      <c r="D33" s="816"/>
      <c r="E33" s="816"/>
      <c r="F33" s="816"/>
      <c r="G33" s="817"/>
      <c r="H33" s="269">
        <v>0</v>
      </c>
      <c r="I33" s="268"/>
      <c r="J33" s="269">
        <v>0</v>
      </c>
      <c r="K33" s="268"/>
      <c r="L33" s="265">
        <f>30*12/BM6</f>
        <v>0.18442622950819673</v>
      </c>
      <c r="M33" s="268"/>
      <c r="N33" s="265">
        <f>30*12/BO6</f>
        <v>0.18442622950819673</v>
      </c>
      <c r="O33" s="268"/>
      <c r="P33" s="265">
        <f>30*12/BQ6</f>
        <v>0.18672199170124482</v>
      </c>
      <c r="Q33" s="268"/>
      <c r="R33" s="265">
        <f>30*12/BS6</f>
        <v>0.18672199170124482</v>
      </c>
      <c r="S33" s="268"/>
      <c r="T33" s="265">
        <f>30*12/BU6</f>
        <v>0.18672199170124482</v>
      </c>
      <c r="U33" s="268"/>
      <c r="V33" s="265">
        <f>95*12/BO6</f>
        <v>0.58401639344262291</v>
      </c>
      <c r="W33" s="268"/>
      <c r="X33" s="265">
        <f>95*12/BQ6</f>
        <v>0.59128630705394192</v>
      </c>
      <c r="Y33" s="264"/>
      <c r="Z33" s="269">
        <v>0</v>
      </c>
      <c r="AA33" s="268"/>
      <c r="AB33" s="269">
        <v>0</v>
      </c>
      <c r="AC33" s="268"/>
      <c r="AD33" s="269">
        <v>0</v>
      </c>
      <c r="AE33" s="268"/>
      <c r="AF33" s="269">
        <v>0</v>
      </c>
      <c r="AG33" s="268"/>
      <c r="AH33" s="269">
        <v>0</v>
      </c>
      <c r="AI33" s="268"/>
      <c r="AJ33" s="269">
        <v>0</v>
      </c>
      <c r="AK33" s="268"/>
      <c r="AL33" s="269">
        <v>0</v>
      </c>
      <c r="AM33" s="268"/>
      <c r="AN33" s="269">
        <v>0</v>
      </c>
      <c r="AO33" s="268"/>
      <c r="AP33" s="267">
        <f>95*12/BS6</f>
        <v>0.59128630705394192</v>
      </c>
      <c r="AQ33" s="264"/>
      <c r="AR33" s="267">
        <f>95*12/BU6</f>
        <v>0.59128630705394192</v>
      </c>
      <c r="AS33" s="264"/>
      <c r="AT33" s="266">
        <v>0</v>
      </c>
      <c r="AU33" s="264"/>
      <c r="AV33" s="265">
        <f>95*12/BY6</f>
        <v>0.59128630705394192</v>
      </c>
      <c r="AW33" s="264"/>
    </row>
    <row r="34" spans="1:50" ht="36" customHeight="1" thickBot="1">
      <c r="A34" s="263"/>
      <c r="B34" s="760" t="s">
        <v>367</v>
      </c>
      <c r="C34" s="761"/>
      <c r="D34" s="761"/>
      <c r="E34" s="761"/>
      <c r="F34" s="761"/>
      <c r="G34" s="814"/>
      <c r="H34" s="258">
        <v>0</v>
      </c>
      <c r="I34" s="262"/>
      <c r="J34" s="258">
        <v>0</v>
      </c>
      <c r="K34" s="262"/>
      <c r="L34" s="258">
        <v>0</v>
      </c>
      <c r="M34" s="262"/>
      <c r="N34" s="258">
        <v>0</v>
      </c>
      <c r="O34" s="262"/>
      <c r="P34" s="258">
        <v>0</v>
      </c>
      <c r="Q34" s="262"/>
      <c r="R34" s="258">
        <v>0</v>
      </c>
      <c r="S34" s="262"/>
      <c r="T34" s="258">
        <v>0</v>
      </c>
      <c r="U34" s="262"/>
      <c r="V34" s="261">
        <f>600*12/BO6</f>
        <v>3.6885245901639343</v>
      </c>
      <c r="W34" s="262"/>
      <c r="X34" s="261">
        <f>600*12/BQ6</f>
        <v>3.7344398340248963</v>
      </c>
      <c r="Y34" s="257"/>
      <c r="Z34" s="258">
        <v>0</v>
      </c>
      <c r="AA34" s="262"/>
      <c r="AB34" s="258">
        <v>0</v>
      </c>
      <c r="AC34" s="262"/>
      <c r="AD34" s="258">
        <v>0</v>
      </c>
      <c r="AE34" s="262"/>
      <c r="AF34" s="258">
        <v>0</v>
      </c>
      <c r="AG34" s="262"/>
      <c r="AH34" s="258">
        <v>0</v>
      </c>
      <c r="AI34" s="262"/>
      <c r="AJ34" s="258">
        <v>0</v>
      </c>
      <c r="AK34" s="262"/>
      <c r="AL34" s="258">
        <v>0</v>
      </c>
      <c r="AM34" s="262"/>
      <c r="AN34" s="258">
        <v>0</v>
      </c>
      <c r="AO34" s="262"/>
      <c r="AP34" s="260">
        <f>600*12/BS6</f>
        <v>3.7344398340248963</v>
      </c>
      <c r="AQ34" s="257"/>
      <c r="AR34" s="259">
        <v>0</v>
      </c>
      <c r="AS34" s="257"/>
      <c r="AT34" s="259">
        <v>0</v>
      </c>
      <c r="AU34" s="257"/>
      <c r="AV34" s="258">
        <v>0</v>
      </c>
      <c r="AW34" s="257"/>
    </row>
    <row r="35" spans="1:50" ht="36" customHeight="1" thickBot="1">
      <c r="A35" s="240"/>
      <c r="B35" s="768" t="s">
        <v>368</v>
      </c>
      <c r="C35" s="769"/>
      <c r="D35" s="769"/>
      <c r="E35" s="769"/>
      <c r="F35" s="769"/>
      <c r="G35" s="770"/>
      <c r="H35" s="238">
        <f t="shared" ref="H35:AW35" si="26">ROUNDUP(+H$8+H$12+H$25+H$29,2)</f>
        <v>47.69</v>
      </c>
      <c r="I35" s="255">
        <f t="shared" si="26"/>
        <v>64.5</v>
      </c>
      <c r="J35" s="238">
        <f t="shared" si="26"/>
        <v>47.69</v>
      </c>
      <c r="K35" s="255">
        <f t="shared" si="26"/>
        <v>64.5</v>
      </c>
      <c r="L35" s="251">
        <f t="shared" si="26"/>
        <v>76.680000000000007</v>
      </c>
      <c r="M35" s="256">
        <f t="shared" si="26"/>
        <v>104.91000000000001</v>
      </c>
      <c r="N35" s="251">
        <f t="shared" si="26"/>
        <v>75.56</v>
      </c>
      <c r="O35" s="256">
        <f t="shared" si="26"/>
        <v>103.79</v>
      </c>
      <c r="P35" s="251">
        <f t="shared" si="26"/>
        <v>74.45</v>
      </c>
      <c r="Q35" s="256">
        <f t="shared" si="26"/>
        <v>102.67</v>
      </c>
      <c r="R35" s="251">
        <f t="shared" si="26"/>
        <v>50.12</v>
      </c>
      <c r="S35" s="256">
        <f t="shared" si="26"/>
        <v>66.740000000000009</v>
      </c>
      <c r="T35" s="251">
        <f t="shared" si="26"/>
        <v>49</v>
      </c>
      <c r="U35" s="256">
        <f t="shared" si="26"/>
        <v>65.62</v>
      </c>
      <c r="V35" s="238">
        <f t="shared" si="26"/>
        <v>83.550000000000011</v>
      </c>
      <c r="W35" s="255">
        <f t="shared" si="26"/>
        <v>107.83</v>
      </c>
      <c r="X35" s="251">
        <f t="shared" si="26"/>
        <v>78.010000000000005</v>
      </c>
      <c r="Y35" s="253">
        <f t="shared" si="26"/>
        <v>102.23</v>
      </c>
      <c r="Z35" s="238">
        <f t="shared" si="26"/>
        <v>35.75</v>
      </c>
      <c r="AA35" s="255">
        <f t="shared" si="26"/>
        <v>46.589999999999996</v>
      </c>
      <c r="AB35" s="238">
        <f t="shared" si="26"/>
        <v>36.14</v>
      </c>
      <c r="AC35" s="255">
        <f t="shared" si="26"/>
        <v>47.169999999999995</v>
      </c>
      <c r="AD35" s="238">
        <f t="shared" si="26"/>
        <v>36.14</v>
      </c>
      <c r="AE35" s="255">
        <f t="shared" si="26"/>
        <v>47.169999999999995</v>
      </c>
      <c r="AF35" s="238">
        <f t="shared" si="26"/>
        <v>36.14</v>
      </c>
      <c r="AG35" s="255">
        <f t="shared" si="26"/>
        <v>47.169999999999995</v>
      </c>
      <c r="AH35" s="238">
        <f t="shared" si="26"/>
        <v>36.14</v>
      </c>
      <c r="AI35" s="255">
        <f t="shared" si="26"/>
        <v>47.169999999999995</v>
      </c>
      <c r="AJ35" s="238">
        <f t="shared" si="26"/>
        <v>36.14</v>
      </c>
      <c r="AK35" s="255">
        <f t="shared" si="26"/>
        <v>47.169999999999995</v>
      </c>
      <c r="AL35" s="238">
        <f t="shared" si="26"/>
        <v>37.61</v>
      </c>
      <c r="AM35" s="255">
        <f t="shared" si="26"/>
        <v>49.379999999999995</v>
      </c>
      <c r="AN35" s="238">
        <f t="shared" si="26"/>
        <v>40.97</v>
      </c>
      <c r="AO35" s="255">
        <f t="shared" si="26"/>
        <v>54.419999999999995</v>
      </c>
      <c r="AP35" s="244">
        <f t="shared" si="26"/>
        <v>83.61</v>
      </c>
      <c r="AQ35" s="254">
        <f t="shared" si="26"/>
        <v>107.83</v>
      </c>
      <c r="AR35" s="252">
        <f t="shared" si="26"/>
        <v>76.75</v>
      </c>
      <c r="AS35" s="253">
        <f t="shared" si="26"/>
        <v>104.71000000000001</v>
      </c>
      <c r="AT35" s="244">
        <f t="shared" si="26"/>
        <v>41.129999999999995</v>
      </c>
      <c r="AU35" s="254">
        <f t="shared" si="26"/>
        <v>57.94</v>
      </c>
      <c r="AV35" s="251">
        <f t="shared" si="26"/>
        <v>32.76</v>
      </c>
      <c r="AW35" s="253">
        <f t="shared" si="26"/>
        <v>44.489999999999995</v>
      </c>
    </row>
    <row r="36" spans="1:50" ht="36" hidden="1" customHeight="1" outlineLevel="1" thickBot="1">
      <c r="A36" s="236"/>
      <c r="B36" s="826" t="s">
        <v>369</v>
      </c>
      <c r="C36" s="827"/>
      <c r="D36" s="827"/>
      <c r="E36" s="827"/>
      <c r="F36" s="827"/>
      <c r="G36" s="828"/>
      <c r="H36" s="238" t="e">
        <f>ROUNDUP(+#REF!-H35,2)</f>
        <v>#REF!</v>
      </c>
      <c r="I36" s="241"/>
      <c r="J36" s="238" t="e">
        <f>ROUNDUP(+#REF!-J35,2)</f>
        <v>#REF!</v>
      </c>
      <c r="K36" s="241"/>
      <c r="L36" s="251" t="e">
        <f>ROUNDUP(+#REF!-L35,2)</f>
        <v>#REF!</v>
      </c>
      <c r="M36" s="250"/>
      <c r="N36" s="251" t="e">
        <f>ROUNDUP(+#REF!-N35,2)</f>
        <v>#REF!</v>
      </c>
      <c r="O36" s="250"/>
      <c r="P36" s="251" t="e">
        <f>ROUNDUP(+#REF!-P35,2)</f>
        <v>#REF!</v>
      </c>
      <c r="Q36" s="250"/>
      <c r="R36" s="251" t="e">
        <f>ROUNDUP(+#REF!-R35,2)</f>
        <v>#REF!</v>
      </c>
      <c r="S36" s="250"/>
      <c r="T36" s="251" t="e">
        <f>ROUNDUP(+#REF!-T35,2)</f>
        <v>#REF!</v>
      </c>
      <c r="U36" s="250"/>
      <c r="V36" s="238" t="e">
        <f>ROUNDUP(+#REF!-V35,2)</f>
        <v>#REF!</v>
      </c>
      <c r="W36" s="241"/>
      <c r="X36" s="251" t="e">
        <f>ROUNDUP(+#REF!-X35,2)</f>
        <v>#REF!</v>
      </c>
      <c r="Y36" s="250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238" t="e">
        <f>ROUNDUP(+#REF!-AP35,2)</f>
        <v>#REF!</v>
      </c>
      <c r="AQ36" s="241"/>
      <c r="AR36" s="251" t="e">
        <f>ROUNDUP(+#REF!-AR35,2)</f>
        <v>#REF!</v>
      </c>
      <c r="AS36" s="250"/>
      <c r="AT36" s="238" t="e">
        <f>ROUNDUP(+#REF!-AT35,2)</f>
        <v>#REF!</v>
      </c>
      <c r="AU36" s="241"/>
      <c r="AV36" s="251" t="e">
        <f>ROUNDUP(+#REF!-AV35,2)</f>
        <v>#REF!</v>
      </c>
      <c r="AW36" s="250"/>
    </row>
    <row r="37" spans="1:50" ht="36" hidden="1" customHeight="1" outlineLevel="1">
      <c r="A37" s="236"/>
      <c r="B37" s="836" t="s">
        <v>370</v>
      </c>
      <c r="C37" s="837"/>
      <c r="D37" s="837"/>
      <c r="E37" s="837"/>
      <c r="F37" s="837"/>
      <c r="G37" s="838"/>
      <c r="H37" s="238" t="e">
        <f>ROUNDUP(+#REF!-H35,2)</f>
        <v>#REF!</v>
      </c>
      <c r="I37" s="241"/>
      <c r="J37" s="238" t="e">
        <f>ROUNDUP(+#REF!-J35,2)</f>
        <v>#REF!</v>
      </c>
      <c r="K37" s="241"/>
      <c r="L37" s="251" t="e">
        <f>ROUNDUP(+#REF!-L35,2)</f>
        <v>#REF!</v>
      </c>
      <c r="M37" s="250"/>
      <c r="N37" s="251" t="e">
        <f>ROUNDUP(+#REF!-N35,2)</f>
        <v>#REF!</v>
      </c>
      <c r="O37" s="250"/>
      <c r="P37" s="251" t="e">
        <f>ROUNDUP(+#REF!-P35,2)</f>
        <v>#REF!</v>
      </c>
      <c r="Q37" s="250"/>
      <c r="R37" s="251" t="e">
        <f>ROUNDUP(+#REF!-R35,2)</f>
        <v>#REF!</v>
      </c>
      <c r="S37" s="250"/>
      <c r="T37" s="251" t="e">
        <f>ROUNDUP(+#REF!-T35,2)</f>
        <v>#REF!</v>
      </c>
      <c r="U37" s="250"/>
      <c r="V37" s="238" t="e">
        <f>ROUNDUP(+#REF!-V35,2)</f>
        <v>#REF!</v>
      </c>
      <c r="W37" s="241"/>
      <c r="X37" s="251" t="e">
        <f>ROUNDUP(+#REF!-X35,2)</f>
        <v>#REF!</v>
      </c>
      <c r="Y37" s="250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238" t="e">
        <f>ROUNDUP(+#REF!-AP35,2)</f>
        <v>#REF!</v>
      </c>
      <c r="AQ37" s="241"/>
      <c r="AR37" s="251" t="e">
        <f>ROUNDUP(+#REF!-AR35,2)</f>
        <v>#REF!</v>
      </c>
      <c r="AS37" s="250"/>
      <c r="AT37" s="238" t="e">
        <f>ROUNDUP(+#REF!-AT35,2)</f>
        <v>#REF!</v>
      </c>
      <c r="AU37" s="241"/>
      <c r="AV37" s="251" t="e">
        <f>ROUNDUP(+#REF!-AV35,2)</f>
        <v>#REF!</v>
      </c>
      <c r="AW37" s="250"/>
    </row>
    <row r="38" spans="1:50" ht="36" hidden="1" customHeight="1" outlineLevel="1">
      <c r="A38" s="236"/>
      <c r="B38" s="249"/>
      <c r="C38" s="249"/>
      <c r="D38" s="249"/>
      <c r="E38" s="249"/>
      <c r="F38" s="249"/>
      <c r="G38" s="249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X38" s="237"/>
    </row>
    <row r="39" spans="1:50" ht="36" hidden="1" customHeight="1" outlineLevel="1">
      <c r="A39" s="236"/>
      <c r="B39" s="839" t="s">
        <v>371</v>
      </c>
      <c r="C39" s="840"/>
      <c r="D39" s="840"/>
      <c r="E39" s="840"/>
      <c r="F39" s="247" t="s">
        <v>372</v>
      </c>
      <c r="G39" s="824">
        <f>IF(Startup!I56=FALSE,0.01343,"0")</f>
        <v>1.3429999999999999E-2</v>
      </c>
      <c r="H39" s="778">
        <f>IF($F40="No",+$G39*H35,0)</f>
        <v>0.6404766999999999</v>
      </c>
      <c r="I39" s="544"/>
      <c r="J39" s="778">
        <f>IF($F40="No",+$G39*J35,0)</f>
        <v>0.6404766999999999</v>
      </c>
      <c r="K39" s="544"/>
      <c r="L39" s="778">
        <f>IF($F40="No",+$G39*L35,0)</f>
        <v>1.0298124</v>
      </c>
      <c r="M39" s="544"/>
      <c r="N39" s="778">
        <f>IF($F40="No",+$G39*N35,0)</f>
        <v>1.0147708</v>
      </c>
      <c r="O39" s="544"/>
      <c r="P39" s="778">
        <f>IF($F40="No",+$G39*P35,0)</f>
        <v>0.99986350000000002</v>
      </c>
      <c r="Q39" s="544"/>
      <c r="R39" s="778">
        <f>IF($F40="No",+$G39*R35,0)</f>
        <v>0.67311159999999992</v>
      </c>
      <c r="S39" s="544"/>
      <c r="T39" s="778">
        <f>IF($F40="No",+$G39*T35,0)</f>
        <v>0.65806999999999993</v>
      </c>
      <c r="U39" s="544"/>
      <c r="V39" s="778">
        <f>IF($F40="No",+$G39*V35,0)</f>
        <v>1.1220765000000001</v>
      </c>
      <c r="W39" s="544"/>
      <c r="X39" s="778">
        <f>IF($F40="No",+$G39*X35,0)</f>
        <v>1.0476742999999999</v>
      </c>
      <c r="Y39" s="544"/>
      <c r="Z39" s="544"/>
      <c r="AA39" s="544"/>
      <c r="AB39" s="544"/>
      <c r="AC39" s="544"/>
      <c r="AD39" s="544"/>
      <c r="AE39" s="544"/>
      <c r="AF39" s="544"/>
      <c r="AG39" s="544"/>
      <c r="AH39" s="544"/>
      <c r="AI39" s="544"/>
      <c r="AJ39" s="544"/>
      <c r="AK39" s="544"/>
      <c r="AL39" s="544"/>
      <c r="AM39" s="544"/>
      <c r="AN39" s="544"/>
      <c r="AO39" s="544"/>
      <c r="AP39" s="778">
        <f>IF($F40="No",+$G39*AP35,0)</f>
        <v>1.1228822999999999</v>
      </c>
      <c r="AQ39" s="544"/>
      <c r="AR39" s="778">
        <f>IF($F40="No",+$G39*AR35,0)</f>
        <v>1.0307525</v>
      </c>
      <c r="AS39" s="544"/>
      <c r="AT39" s="778">
        <f>IF($F40="No",+$G39*AT35,0)</f>
        <v>0.55237589999999992</v>
      </c>
      <c r="AU39" s="544"/>
      <c r="AV39" s="778">
        <f>IF($F40="No",+$G39*AV35,0)</f>
        <v>0.43996679999999994</v>
      </c>
    </row>
    <row r="40" spans="1:50" ht="36" hidden="1" customHeight="1" outlineLevel="1">
      <c r="A40" s="236"/>
      <c r="B40" s="821"/>
      <c r="C40" s="822"/>
      <c r="D40" s="822"/>
      <c r="E40" s="822"/>
      <c r="F40" s="246" t="s">
        <v>341</v>
      </c>
      <c r="G40" s="825"/>
      <c r="H40" s="779"/>
      <c r="I40" s="545"/>
      <c r="J40" s="779"/>
      <c r="K40" s="545"/>
      <c r="L40" s="779"/>
      <c r="M40" s="545"/>
      <c r="N40" s="779"/>
      <c r="O40" s="545"/>
      <c r="P40" s="779"/>
      <c r="Q40" s="545"/>
      <c r="R40" s="779"/>
      <c r="S40" s="545"/>
      <c r="T40" s="779"/>
      <c r="U40" s="545"/>
      <c r="V40" s="779"/>
      <c r="W40" s="545"/>
      <c r="X40" s="779"/>
      <c r="Y40" s="545"/>
      <c r="Z40" s="545"/>
      <c r="AA40" s="545"/>
      <c r="AB40" s="545"/>
      <c r="AC40" s="545"/>
      <c r="AD40" s="545"/>
      <c r="AE40" s="545"/>
      <c r="AF40" s="545"/>
      <c r="AG40" s="545"/>
      <c r="AH40" s="545"/>
      <c r="AI40" s="545"/>
      <c r="AJ40" s="545"/>
      <c r="AK40" s="545"/>
      <c r="AL40" s="545"/>
      <c r="AM40" s="545"/>
      <c r="AN40" s="545"/>
      <c r="AO40" s="545"/>
      <c r="AP40" s="779"/>
      <c r="AQ40" s="545"/>
      <c r="AR40" s="779"/>
      <c r="AS40" s="545"/>
      <c r="AT40" s="779"/>
      <c r="AU40" s="545"/>
      <c r="AV40" s="779"/>
    </row>
    <row r="41" spans="1:50" ht="42.75" hidden="1" customHeight="1" collapsed="1">
      <c r="A41" s="245"/>
      <c r="B41" s="807" t="s">
        <v>373</v>
      </c>
      <c r="C41" s="808"/>
      <c r="D41" s="808"/>
      <c r="E41" s="808"/>
      <c r="F41" s="809"/>
      <c r="G41" s="810"/>
      <c r="H41" s="238">
        <f>+H35+H39</f>
        <v>48.330476699999998</v>
      </c>
      <c r="I41" s="244"/>
      <c r="J41" s="238">
        <f>+J35+J39</f>
        <v>48.330476699999998</v>
      </c>
      <c r="K41" s="244"/>
      <c r="L41" s="243">
        <f>+L35+L39</f>
        <v>77.709812400000004</v>
      </c>
      <c r="M41" s="243"/>
      <c r="N41" s="243">
        <f>+N35+N39</f>
        <v>76.574770799999996</v>
      </c>
      <c r="O41" s="243"/>
      <c r="P41" s="243">
        <f>+P35+P39</f>
        <v>75.449863500000006</v>
      </c>
      <c r="Q41" s="243"/>
      <c r="R41" s="243">
        <f>+R35+R39</f>
        <v>50.793111599999996</v>
      </c>
      <c r="S41" s="243"/>
      <c r="T41" s="243">
        <f>+T35+T39</f>
        <v>49.658070000000002</v>
      </c>
      <c r="U41" s="243"/>
      <c r="V41" s="243">
        <f>+V35+V39</f>
        <v>84.672076500000017</v>
      </c>
      <c r="W41" s="243"/>
      <c r="X41" s="243">
        <f>+X35+X39</f>
        <v>79.057674300000002</v>
      </c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>
        <f>+AP35+AP39</f>
        <v>84.7328823</v>
      </c>
      <c r="AQ41" s="243"/>
      <c r="AR41" s="243">
        <f>+AR35+AR39</f>
        <v>77.780752500000006</v>
      </c>
      <c r="AS41" s="243"/>
      <c r="AT41" s="243">
        <f>+AT35+AT39</f>
        <v>41.682375899999997</v>
      </c>
      <c r="AU41" s="242"/>
      <c r="AV41" s="241">
        <f>+AV35+AV39</f>
        <v>33.199966799999999</v>
      </c>
    </row>
    <row r="42" spans="1:50" ht="46.9" hidden="1" customHeight="1" outlineLevel="1">
      <c r="A42" s="240"/>
      <c r="B42" s="768" t="s">
        <v>374</v>
      </c>
      <c r="C42" s="769"/>
      <c r="D42" s="769"/>
      <c r="E42" s="769"/>
      <c r="F42" s="769"/>
      <c r="G42" s="770"/>
      <c r="H42" s="238">
        <f>ROUNDUP(+H$8+H$12+H$25+H$29+H$39,2)</f>
        <v>48.339999999999996</v>
      </c>
      <c r="I42" s="238"/>
      <c r="J42" s="238">
        <f>ROUNDUP(+J$8+J$12+J$25+J$29+J$39,2)</f>
        <v>48.339999999999996</v>
      </c>
      <c r="K42" s="238"/>
      <c r="L42" s="238">
        <f>ROUNDUP(+L$8+L$12+L$25+L$29,2)</f>
        <v>76.680000000000007</v>
      </c>
      <c r="M42" s="238"/>
      <c r="N42" s="238">
        <f>ROUNDUP(+N$8+N$12+N$25+N$29,2)</f>
        <v>75.56</v>
      </c>
      <c r="O42" s="238"/>
      <c r="P42" s="238">
        <f>ROUNDUP(+P$8+P$12+P$25+P$29,2)</f>
        <v>74.45</v>
      </c>
      <c r="Q42" s="238"/>
      <c r="R42" s="238">
        <f>ROUNDUP(+R$8+R$12+R$25+R$29,2)</f>
        <v>50.12</v>
      </c>
      <c r="S42" s="238"/>
      <c r="T42" s="238">
        <f>ROUNDUP(+T$8+T$12+T$25+T$29,2)</f>
        <v>49</v>
      </c>
      <c r="U42" s="238"/>
      <c r="V42" s="238">
        <f>ROUNDUP(+V$8+V$12+V$25+V$29,2)</f>
        <v>83.550000000000011</v>
      </c>
      <c r="W42" s="238"/>
      <c r="X42" s="238">
        <f>ROUNDUP(+X$8+X$12+X$25+X$29,2)</f>
        <v>78.010000000000005</v>
      </c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>
        <f>ROUNDUP(+AP$8+AP$12+AP$25+AP$29,2)</f>
        <v>83.61</v>
      </c>
      <c r="AQ42" s="238"/>
      <c r="AR42" s="238">
        <f>ROUNDUP(+AR$8+AR$12+AR$25+AR$29,2)</f>
        <v>76.75</v>
      </c>
      <c r="AS42" s="238"/>
      <c r="AT42" s="238">
        <f>ROUNDUP(+AT$8+AT$12+AT$25+AT$29,2)</f>
        <v>41.129999999999995</v>
      </c>
      <c r="AU42" s="238"/>
      <c r="AV42" s="238">
        <f>ROUNDUP(+AV$8+AV$12+AV$25+AV$29,2)</f>
        <v>32.76</v>
      </c>
    </row>
    <row r="43" spans="1:50" ht="42.75" hidden="1" customHeight="1" outlineLevel="1">
      <c r="A43" s="239"/>
      <c r="B43" s="826" t="s">
        <v>375</v>
      </c>
      <c r="C43" s="827"/>
      <c r="D43" s="827"/>
      <c r="E43" s="827"/>
      <c r="F43" s="827"/>
      <c r="G43" s="828"/>
      <c r="H43" s="238">
        <f>ROUNDUP(+H$8*1.5+H$25+H$29+H$12*1.5+H$39*1.5,2)</f>
        <v>65.570000000000007</v>
      </c>
      <c r="I43" s="238"/>
      <c r="J43" s="238">
        <f>ROUNDUP(+J$8*1.5+J$25+J$29+J$12*1.5+J$39*1.5,2)</f>
        <v>65.570000000000007</v>
      </c>
      <c r="K43" s="238"/>
      <c r="L43" s="238">
        <f>ROUNDUP(+L$8*1.5+L$25+L$29+L$12*1.5,2)</f>
        <v>108.01</v>
      </c>
      <c r="M43" s="238"/>
      <c r="N43" s="238">
        <f>ROUNDUP(+N$8*1.5+N$25+N$29+N$12*1.5,2)</f>
        <v>106.32000000000001</v>
      </c>
      <c r="O43" s="238"/>
      <c r="P43" s="238">
        <f>ROUNDUP(+P$8*1.5+P$25+P$29+P$12*1.5,2)</f>
        <v>104.65</v>
      </c>
      <c r="Q43" s="238"/>
      <c r="R43" s="238">
        <f>ROUNDUP(+R$8*1.5+R$25+R$29+R$12*1.5,2)</f>
        <v>68.160000000000011</v>
      </c>
      <c r="S43" s="238"/>
      <c r="T43" s="238">
        <f>ROUNDUP(+T$8*1.5+T$25+T$29+T$12*1.5,2)</f>
        <v>66.48</v>
      </c>
      <c r="U43" s="238"/>
      <c r="V43" s="238">
        <f>ROUNDUP(+V$8*1.5+V$25+V$29+V$12*1.5,2)</f>
        <v>117.67</v>
      </c>
      <c r="W43" s="238"/>
      <c r="X43" s="238">
        <f>ROUNDUP(+X$8*1.5+X$25+X$29+X$12*1.5,2)</f>
        <v>109.33</v>
      </c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>
        <f>ROUNDUP(+AP$8*1.5+AP$25+AP$29+AP$12*1.5,2)</f>
        <v>117.73</v>
      </c>
      <c r="AQ43" s="238"/>
      <c r="AR43" s="238">
        <f>ROUNDUP(+AR$8*1.5+AR$25+AR$29+AR$12*1.5,2)</f>
        <v>110.88000000000001</v>
      </c>
      <c r="AS43" s="238"/>
      <c r="AT43" s="238">
        <f>ROUNDUP(+AT$8*1.5+AT$25+AT$29+AT$12*1.5,2)</f>
        <v>58.05</v>
      </c>
      <c r="AU43" s="238"/>
      <c r="AV43" s="238">
        <f>ROUNDUP(+AV$8*1.5+AV$25+AV$29+AV$12*1.5,2)</f>
        <v>45.199999999999996</v>
      </c>
    </row>
    <row r="44" spans="1:50" ht="52.9" hidden="1" customHeight="1" outlineLevel="1">
      <c r="A44" s="236"/>
      <c r="B44" s="826" t="s">
        <v>376</v>
      </c>
      <c r="C44" s="827"/>
      <c r="D44" s="827"/>
      <c r="E44" s="827"/>
      <c r="F44" s="827"/>
      <c r="G44" s="828"/>
      <c r="H44" s="238">
        <f>ROUNDUP(+H$8*2+H$25+H$29+H$12*2+H$39*2,2)</f>
        <v>82.81</v>
      </c>
      <c r="I44" s="238"/>
      <c r="J44" s="238">
        <f>ROUNDUP(+J$8*2+J$25+J$29+J$12*2+J$39*2,2)</f>
        <v>82.81</v>
      </c>
      <c r="K44" s="238"/>
      <c r="L44" s="238">
        <f>ROUNDUP(+L$8*2+L$25+L$29+L$12*2,2)</f>
        <v>139.32999999999998</v>
      </c>
      <c r="M44" s="238"/>
      <c r="N44" s="238">
        <f>ROUNDUP(+N$8*2+N$25+N$29+N$12*2,2)</f>
        <v>137.09</v>
      </c>
      <c r="O44" s="238"/>
      <c r="P44" s="238">
        <f>ROUNDUP(+P$8*2+P$25+P$29+P$12*2,2)</f>
        <v>134.85</v>
      </c>
      <c r="Q44" s="238"/>
      <c r="R44" s="238">
        <f>ROUNDUP(+R$8*2+R$25+R$29+R$12*2,2)</f>
        <v>86.2</v>
      </c>
      <c r="S44" s="238"/>
      <c r="T44" s="238">
        <f>ROUNDUP(+T$8*2+T$25+T$29+T$12*2,2)</f>
        <v>83.960000000000008</v>
      </c>
      <c r="U44" s="238"/>
      <c r="V44" s="238">
        <f>ROUNDUP(+V$8*2+V$25+V$29+V$12*2,2)</f>
        <v>151.79999999999998</v>
      </c>
      <c r="W44" s="238"/>
      <c r="X44" s="238">
        <f>ROUNDUP(+X$8*2+X$25+X$29+X$12*2,2)</f>
        <v>140.64999999999998</v>
      </c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>
        <f>ROUNDUP(+AP$8*2+AP$25+AP$29+AP$12*2,2)</f>
        <v>151.85999999999999</v>
      </c>
      <c r="AQ44" s="238"/>
      <c r="AR44" s="238">
        <f>ROUNDUP(+AR$8*2+AR$25+AR$29+AR$12*2,2)</f>
        <v>145</v>
      </c>
      <c r="AS44" s="238"/>
      <c r="AT44" s="238">
        <f>ROUNDUP(+AT$8*2+AT$25+AT$29+AT$12*2,2)</f>
        <v>74.97</v>
      </c>
      <c r="AU44" s="238"/>
      <c r="AV44" s="238">
        <f>ROUNDUP(+AV$8*2+AV$25+AV$29+AV$12*2,2)</f>
        <v>57.64</v>
      </c>
    </row>
    <row r="45" spans="1:50" ht="52.9" hidden="1" customHeight="1" outlineLevel="1">
      <c r="A45" s="236"/>
      <c r="B45" s="826" t="s">
        <v>377</v>
      </c>
      <c r="C45" s="827"/>
      <c r="D45" s="827"/>
      <c r="E45" s="827"/>
      <c r="F45" s="827"/>
      <c r="G45" s="828"/>
      <c r="H45" s="238">
        <f>ROUNDUP(+H43-H42,2)</f>
        <v>17.23</v>
      </c>
      <c r="I45" s="238"/>
      <c r="J45" s="238">
        <f>ROUNDUP(+J43-J42,2)</f>
        <v>17.23</v>
      </c>
      <c r="K45" s="238"/>
      <c r="L45" s="238">
        <f>ROUNDUP(+L43-L42,2)</f>
        <v>31.33</v>
      </c>
      <c r="M45" s="238"/>
      <c r="N45" s="238">
        <f t="shared" ref="N45" si="27">ROUNDUP(+N43-N42,2)</f>
        <v>30.76</v>
      </c>
      <c r="O45" s="238"/>
      <c r="P45" s="238">
        <f t="shared" ref="P45" si="28">ROUNDUP(+P43-P42,2)</f>
        <v>30.2</v>
      </c>
      <c r="Q45" s="238"/>
      <c r="R45" s="238">
        <f t="shared" ref="R45" si="29">ROUNDUP(+R43-R42,2)</f>
        <v>18.04</v>
      </c>
      <c r="S45" s="238"/>
      <c r="T45" s="238">
        <f t="shared" ref="T45" si="30">ROUNDUP(+T43-T42,2)</f>
        <v>17.48</v>
      </c>
      <c r="U45" s="238"/>
      <c r="V45" s="238">
        <f>ROUNDUP(+V43-V42,2)</f>
        <v>34.119999999999997</v>
      </c>
      <c r="W45" s="238"/>
      <c r="X45" s="238">
        <f>ROUNDUP(+X43-X42,2)</f>
        <v>31.32</v>
      </c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>
        <f>ROUNDUP(+AP43-AP42,2)</f>
        <v>34.119999999999997</v>
      </c>
      <c r="AQ45" s="238"/>
      <c r="AR45" s="238">
        <f>ROUNDUP(+AR43-AR42,2)</f>
        <v>34.130000000000003</v>
      </c>
      <c r="AS45" s="238"/>
      <c r="AT45" s="238">
        <f>ROUNDUP(+AT43-AT42,2)</f>
        <v>16.920000000000002</v>
      </c>
      <c r="AU45" s="238"/>
      <c r="AV45" s="238">
        <f>ROUNDUP(+AV43-AV42,2)</f>
        <v>12.44</v>
      </c>
    </row>
    <row r="46" spans="1:50" ht="52.9" hidden="1" customHeight="1" outlineLevel="1">
      <c r="A46" s="236"/>
      <c r="B46" s="836" t="s">
        <v>378</v>
      </c>
      <c r="C46" s="837"/>
      <c r="D46" s="837"/>
      <c r="E46" s="837"/>
      <c r="F46" s="837"/>
      <c r="G46" s="838"/>
      <c r="H46" s="238">
        <f>ROUNDUP(+H44-H42,2)</f>
        <v>34.47</v>
      </c>
      <c r="I46" s="238"/>
      <c r="J46" s="238">
        <f>ROUNDUP(+J44-J42,2)</f>
        <v>34.47</v>
      </c>
      <c r="K46" s="238"/>
      <c r="L46" s="238">
        <f>ROUNDUP(+L44-L42,2)</f>
        <v>62.65</v>
      </c>
      <c r="M46" s="238"/>
      <c r="N46" s="238">
        <f t="shared" ref="N46" si="31">ROUNDUP(+N44-N42,2)</f>
        <v>61.53</v>
      </c>
      <c r="O46" s="238"/>
      <c r="P46" s="238">
        <f t="shared" ref="P46" si="32">ROUNDUP(+P44-P42,2)</f>
        <v>60.4</v>
      </c>
      <c r="Q46" s="238"/>
      <c r="R46" s="238">
        <f t="shared" ref="R46" si="33">ROUNDUP(+R44-R42,2)</f>
        <v>36.08</v>
      </c>
      <c r="S46" s="238"/>
      <c r="T46" s="238">
        <f t="shared" ref="T46" si="34">ROUNDUP(+T44-T42,2)</f>
        <v>34.96</v>
      </c>
      <c r="U46" s="238"/>
      <c r="V46" s="238">
        <f>ROUNDUP(+V44-V42,2)</f>
        <v>68.25</v>
      </c>
      <c r="W46" s="238"/>
      <c r="X46" s="238">
        <f>ROUNDUP(+X44-X42,2)</f>
        <v>62.64</v>
      </c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>
        <f>ROUNDUP(+AP44-AP42,2)</f>
        <v>68.25</v>
      </c>
      <c r="AQ46" s="238"/>
      <c r="AR46" s="238">
        <f>ROUNDUP(+AR44-AR42,2)</f>
        <v>68.25</v>
      </c>
      <c r="AS46" s="238"/>
      <c r="AT46" s="238">
        <f>ROUNDUP(+AT44-AT42,2)</f>
        <v>33.840000000000003</v>
      </c>
      <c r="AU46" s="238"/>
      <c r="AV46" s="238">
        <f>ROUNDUP(+AV44-AV42,2)</f>
        <v>24.88</v>
      </c>
    </row>
    <row r="47" spans="1:50" ht="52.9" hidden="1" customHeight="1" outlineLevel="1">
      <c r="A47" s="236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X47" s="237"/>
    </row>
    <row r="48" spans="1:50" ht="52.9" hidden="1" customHeight="1" outlineLevel="1">
      <c r="A48" s="236"/>
    </row>
    <row r="49" spans="1:49" ht="52.9" hidden="1" customHeight="1" outlineLevel="1">
      <c r="A49" s="236"/>
    </row>
    <row r="50" spans="1:49" hidden="1" collapsed="1"/>
    <row r="51" spans="1:49" ht="16.5" thickBot="1">
      <c r="B51" s="768" t="s">
        <v>379</v>
      </c>
      <c r="C51" s="769"/>
      <c r="D51" s="769"/>
      <c r="E51" s="769"/>
      <c r="F51" s="769"/>
      <c r="G51" s="770"/>
      <c r="H51" s="429">
        <f t="shared" ref="H51:AW51" si="35">+H12/H7</f>
        <v>0.10290694556181282</v>
      </c>
      <c r="I51" s="430">
        <f t="shared" si="35"/>
        <v>0.10791929623254924</v>
      </c>
      <c r="J51" s="429">
        <f t="shared" ref="J51:K51" si="36">+J12/J7</f>
        <v>0.10290694556181282</v>
      </c>
      <c r="K51" s="430">
        <f t="shared" si="36"/>
        <v>0.10791929623254924</v>
      </c>
      <c r="L51" s="431">
        <f t="shared" si="35"/>
        <v>0.11003761587301589</v>
      </c>
      <c r="M51" s="432">
        <f t="shared" si="35"/>
        <v>0.11300554241412482</v>
      </c>
      <c r="N51" s="431">
        <f t="shared" si="35"/>
        <v>0.10987080322580646</v>
      </c>
      <c r="O51" s="432">
        <f t="shared" si="35"/>
        <v>0.11292112300383492</v>
      </c>
      <c r="P51" s="431">
        <f t="shared" si="35"/>
        <v>0.10969852131147539</v>
      </c>
      <c r="Q51" s="432">
        <f t="shared" si="35"/>
        <v>0.11283474842221064</v>
      </c>
      <c r="R51" s="431">
        <f t="shared" si="35"/>
        <v>0.10379638584881648</v>
      </c>
      <c r="S51" s="432">
        <f t="shared" si="35"/>
        <v>0.10837833855221957</v>
      </c>
      <c r="T51" s="431">
        <f t="shared" si="35"/>
        <v>0.10336328022982502</v>
      </c>
      <c r="U51" s="432">
        <f t="shared" si="35"/>
        <v>0.10815312441358604</v>
      </c>
      <c r="V51" s="429">
        <f t="shared" si="35"/>
        <v>0.11079808529411764</v>
      </c>
      <c r="W51" s="430">
        <f t="shared" si="35"/>
        <v>0.11248399920735819</v>
      </c>
      <c r="X51" s="431">
        <f t="shared" si="35"/>
        <v>0.11003761587301589</v>
      </c>
      <c r="Y51" s="433">
        <f t="shared" si="35"/>
        <v>0.11204097933415734</v>
      </c>
      <c r="Z51" s="429">
        <f t="shared" si="35"/>
        <v>9.5912474652647392E-2</v>
      </c>
      <c r="AA51" s="430">
        <f t="shared" si="35"/>
        <v>0.10243040771349862</v>
      </c>
      <c r="AB51" s="429">
        <f t="shared" si="35"/>
        <v>9.6229092927364673E-2</v>
      </c>
      <c r="AC51" s="430">
        <f t="shared" si="35"/>
        <v>0.10268567336009579</v>
      </c>
      <c r="AD51" s="429">
        <f t="shared" si="35"/>
        <v>9.6229092927364673E-2</v>
      </c>
      <c r="AE51" s="430">
        <f t="shared" si="35"/>
        <v>0.10268567336009579</v>
      </c>
      <c r="AF51" s="429">
        <f t="shared" si="35"/>
        <v>9.6229092927364673E-2</v>
      </c>
      <c r="AG51" s="430">
        <f t="shared" si="35"/>
        <v>0.10268567336009579</v>
      </c>
      <c r="AH51" s="429">
        <f t="shared" si="35"/>
        <v>9.6229092927364673E-2</v>
      </c>
      <c r="AI51" s="430">
        <f t="shared" si="35"/>
        <v>0.10268567336009579</v>
      </c>
      <c r="AJ51" s="429">
        <f t="shared" si="35"/>
        <v>9.6229092927364673E-2</v>
      </c>
      <c r="AK51" s="430">
        <f t="shared" si="35"/>
        <v>0.10268567336009579</v>
      </c>
      <c r="AL51" s="429">
        <f t="shared" si="35"/>
        <v>9.7348179568752219E-2</v>
      </c>
      <c r="AM51" s="430">
        <f t="shared" si="35"/>
        <v>0.10358262438772881</v>
      </c>
      <c r="AN51" s="429">
        <f t="shared" si="35"/>
        <v>9.955640779801854E-2</v>
      </c>
      <c r="AO51" s="430">
        <f t="shared" si="35"/>
        <v>0.10532871332871334</v>
      </c>
      <c r="AP51" s="434">
        <f t="shared" si="35"/>
        <v>0.11079808529411764</v>
      </c>
      <c r="AQ51" s="435">
        <f t="shared" si="35"/>
        <v>0.11248399920735819</v>
      </c>
      <c r="AR51" s="436">
        <f t="shared" si="35"/>
        <v>0.11079808529411764</v>
      </c>
      <c r="AS51" s="433">
        <f t="shared" si="35"/>
        <v>0.11248399920735819</v>
      </c>
      <c r="AT51" s="434">
        <f t="shared" si="35"/>
        <v>0.10290694556181282</v>
      </c>
      <c r="AU51" s="435">
        <f t="shared" si="35"/>
        <v>0.10791929623254924</v>
      </c>
      <c r="AV51" s="431">
        <f t="shared" si="35"/>
        <v>9.8134516899965857E-2</v>
      </c>
      <c r="AW51" s="433">
        <f t="shared" si="35"/>
        <v>0.10420799205758254</v>
      </c>
    </row>
    <row r="52" spans="1:49">
      <c r="H52" s="360">
        <f>AVERAGE(H51:AW51)</f>
        <v>0.1051794810769955</v>
      </c>
      <c r="J52" s="360">
        <f>AVERAGE(J51:AY51)</f>
        <v>0.10516779908598624</v>
      </c>
      <c r="L52" s="234"/>
      <c r="N52" s="234"/>
      <c r="P52" s="234"/>
      <c r="R52" s="234"/>
      <c r="T52" s="234"/>
      <c r="V52" s="234"/>
    </row>
    <row r="53" spans="1:49" ht="15">
      <c r="H53" s="235"/>
      <c r="J53" s="235"/>
      <c r="L53" s="235"/>
      <c r="N53" s="235"/>
      <c r="P53" s="235"/>
      <c r="R53" s="235"/>
      <c r="T53" s="235"/>
      <c r="V53" s="235"/>
    </row>
    <row r="54" spans="1:49">
      <c r="H54" s="234"/>
      <c r="J54" s="234"/>
    </row>
    <row r="65" spans="5:5">
      <c r="E65" s="155" t="str" cm="1">
        <f t="array" ref="E65">_xlfn.IFS(Project_Company="Goel", _xlfn.XLOOKUP(Project_State, Rate_State, SUTA_GOEL_Rate, ""),
Project_Company="DCB", _xlfn.XLOOKUP(Project_State, Rate_State, SUTA_DCB_Rate, ""),
Project_Company="GoelDC", _xlfn.XLOOKUP(Project_State, Rate_State, SUTA_Goel_DC_Rate, ""),TRUE, "")</f>
        <v/>
      </c>
    </row>
  </sheetData>
  <dataConsolidate/>
  <mergeCells count="392">
    <mergeCell ref="AW23:AW24"/>
    <mergeCell ref="BH7:BZ7"/>
    <mergeCell ref="AV4:AW4"/>
    <mergeCell ref="M21:M22"/>
    <mergeCell ref="W21:W22"/>
    <mergeCell ref="Y21:Y22"/>
    <mergeCell ref="AQ21:AQ22"/>
    <mergeCell ref="AS21:AS22"/>
    <mergeCell ref="AU21:AU22"/>
    <mergeCell ref="BU4:BV4"/>
    <mergeCell ref="BU6:BV6"/>
    <mergeCell ref="BK4:BL4"/>
    <mergeCell ref="BK6:BL6"/>
    <mergeCell ref="BS4:BT4"/>
    <mergeCell ref="BS6:BT6"/>
    <mergeCell ref="AV21:AV22"/>
    <mergeCell ref="AT21:AT22"/>
    <mergeCell ref="AR21:AR22"/>
    <mergeCell ref="AP21:AP22"/>
    <mergeCell ref="X21:X22"/>
    <mergeCell ref="BW4:BX4"/>
    <mergeCell ref="BW6:BX6"/>
    <mergeCell ref="AW21:AW22"/>
    <mergeCell ref="AT4:AU4"/>
    <mergeCell ref="BM2:BN2"/>
    <mergeCell ref="BM3:BN3"/>
    <mergeCell ref="BM4:BN4"/>
    <mergeCell ref="BM6:BN6"/>
    <mergeCell ref="BH3:BI3"/>
    <mergeCell ref="L4:M4"/>
    <mergeCell ref="BY2:BZ2"/>
    <mergeCell ref="BY3:BZ3"/>
    <mergeCell ref="BY4:BZ4"/>
    <mergeCell ref="BY6:BZ6"/>
    <mergeCell ref="BQ3:BR3"/>
    <mergeCell ref="AR4:AS4"/>
    <mergeCell ref="AP4:AQ4"/>
    <mergeCell ref="X4:Y4"/>
    <mergeCell ref="BU3:BV3"/>
    <mergeCell ref="BK3:BL3"/>
    <mergeCell ref="BH4:BI4"/>
    <mergeCell ref="P4:Q4"/>
    <mergeCell ref="R4:S4"/>
    <mergeCell ref="AR5:AS5"/>
    <mergeCell ref="AT5:AU5"/>
    <mergeCell ref="AV5:AW5"/>
    <mergeCell ref="T4:U4"/>
    <mergeCell ref="B46:G46"/>
    <mergeCell ref="AT23:AT24"/>
    <mergeCell ref="AV23:AV24"/>
    <mergeCell ref="B39:E40"/>
    <mergeCell ref="AV39:AV40"/>
    <mergeCell ref="AT39:AT40"/>
    <mergeCell ref="AR39:AR40"/>
    <mergeCell ref="B9:G9"/>
    <mergeCell ref="B1:C1"/>
    <mergeCell ref="B12:G12"/>
    <mergeCell ref="B8:G8"/>
    <mergeCell ref="B10:G10"/>
    <mergeCell ref="B11:G11"/>
    <mergeCell ref="V4:W4"/>
    <mergeCell ref="M23:M24"/>
    <mergeCell ref="J4:K4"/>
    <mergeCell ref="J5:K5"/>
    <mergeCell ref="J13:J14"/>
    <mergeCell ref="K13:K14"/>
    <mergeCell ref="J15:J16"/>
    <mergeCell ref="K15:K16"/>
    <mergeCell ref="J17:J18"/>
    <mergeCell ref="K17:K18"/>
    <mergeCell ref="J19:J20"/>
    <mergeCell ref="AP39:AP40"/>
    <mergeCell ref="X39:X40"/>
    <mergeCell ref="V39:V40"/>
    <mergeCell ref="L39:L40"/>
    <mergeCell ref="H39:H40"/>
    <mergeCell ref="G39:G40"/>
    <mergeCell ref="H4:I4"/>
    <mergeCell ref="B44:G44"/>
    <mergeCell ref="B45:G45"/>
    <mergeCell ref="K19:K20"/>
    <mergeCell ref="J21:J22"/>
    <mergeCell ref="K21:K22"/>
    <mergeCell ref="J23:J24"/>
    <mergeCell ref="K23:K24"/>
    <mergeCell ref="J39:J40"/>
    <mergeCell ref="B31:G31"/>
    <mergeCell ref="B32:G32"/>
    <mergeCell ref="B30:G30"/>
    <mergeCell ref="B27:G27"/>
    <mergeCell ref="B28:G28"/>
    <mergeCell ref="B42:G42"/>
    <mergeCell ref="B43:G43"/>
    <mergeCell ref="B36:G36"/>
    <mergeCell ref="B37:G37"/>
    <mergeCell ref="B41:G41"/>
    <mergeCell ref="W23:W24"/>
    <mergeCell ref="B29:G29"/>
    <mergeCell ref="B35:G35"/>
    <mergeCell ref="B34:G34"/>
    <mergeCell ref="B33:G33"/>
    <mergeCell ref="B25:G25"/>
    <mergeCell ref="B26:G26"/>
    <mergeCell ref="B23:E24"/>
    <mergeCell ref="G23:G24"/>
    <mergeCell ref="BW1:BX1"/>
    <mergeCell ref="BY1:BZ1"/>
    <mergeCell ref="E1:AW2"/>
    <mergeCell ref="BU2:BV2"/>
    <mergeCell ref="BK2:BL2"/>
    <mergeCell ref="AU23:AU24"/>
    <mergeCell ref="B21:E22"/>
    <mergeCell ref="Y23:Y24"/>
    <mergeCell ref="AQ23:AQ24"/>
    <mergeCell ref="AS23:AS24"/>
    <mergeCell ref="BS2:BT2"/>
    <mergeCell ref="BS3:BT3"/>
    <mergeCell ref="BQ2:BR2"/>
    <mergeCell ref="BQ4:BR4"/>
    <mergeCell ref="BQ6:BR6"/>
    <mergeCell ref="BW2:BX2"/>
    <mergeCell ref="BW3:BX3"/>
    <mergeCell ref="BO2:BP2"/>
    <mergeCell ref="BO3:BP3"/>
    <mergeCell ref="BO4:BP4"/>
    <mergeCell ref="BO6:BP6"/>
    <mergeCell ref="G21:G22"/>
    <mergeCell ref="B7:G7"/>
    <mergeCell ref="N4:O4"/>
    <mergeCell ref="BS1:BT1"/>
    <mergeCell ref="BU1:BV1"/>
    <mergeCell ref="H23:H24"/>
    <mergeCell ref="L23:L24"/>
    <mergeCell ref="V23:V24"/>
    <mergeCell ref="L21:L22"/>
    <mergeCell ref="H21:H22"/>
    <mergeCell ref="V21:V22"/>
    <mergeCell ref="X23:X24"/>
    <mergeCell ref="AP23:AP24"/>
    <mergeCell ref="I21:I22"/>
    <mergeCell ref="I23:I24"/>
    <mergeCell ref="BK1:BL1"/>
    <mergeCell ref="BM1:BN1"/>
    <mergeCell ref="BO1:BP1"/>
    <mergeCell ref="BQ1:BR1"/>
    <mergeCell ref="AR23:AR24"/>
    <mergeCell ref="Z4:AA4"/>
    <mergeCell ref="Z21:Z22"/>
    <mergeCell ref="AD23:AD24"/>
    <mergeCell ref="AE23:AE24"/>
    <mergeCell ref="AF4:AG4"/>
    <mergeCell ref="AF21:AF22"/>
    <mergeCell ref="AG21:AG22"/>
    <mergeCell ref="AF23:AF24"/>
    <mergeCell ref="AG23:AG24"/>
    <mergeCell ref="Z23:Z24"/>
    <mergeCell ref="AA23:AA24"/>
    <mergeCell ref="AB4:AC4"/>
    <mergeCell ref="AB21:AB22"/>
    <mergeCell ref="AC21:AC22"/>
    <mergeCell ref="AB23:AB24"/>
    <mergeCell ref="AC23:AC24"/>
    <mergeCell ref="AB17:AB18"/>
    <mergeCell ref="AC17:AC18"/>
    <mergeCell ref="AB19:AB20"/>
    <mergeCell ref="AA21:AA22"/>
    <mergeCell ref="AC15:AC16"/>
    <mergeCell ref="AD15:AD16"/>
    <mergeCell ref="AE15:AE16"/>
    <mergeCell ref="AF15:AF16"/>
    <mergeCell ref="AL23:AL24"/>
    <mergeCell ref="AM23:AM24"/>
    <mergeCell ref="AN23:AN24"/>
    <mergeCell ref="AO23:AO24"/>
    <mergeCell ref="X5:Y5"/>
    <mergeCell ref="Z5:AA5"/>
    <mergeCell ref="AB5:AC5"/>
    <mergeCell ref="AD5:AE5"/>
    <mergeCell ref="AL4:AM4"/>
    <mergeCell ref="AN4:AO4"/>
    <mergeCell ref="AL21:AL22"/>
    <mergeCell ref="AM21:AM22"/>
    <mergeCell ref="AN21:AN22"/>
    <mergeCell ref="AO21:AO22"/>
    <mergeCell ref="AH4:AI4"/>
    <mergeCell ref="AH21:AH22"/>
    <mergeCell ref="AI21:AI22"/>
    <mergeCell ref="AH23:AH24"/>
    <mergeCell ref="AI23:AI24"/>
    <mergeCell ref="AH17:AH18"/>
    <mergeCell ref="AI17:AI18"/>
    <mergeCell ref="AD4:AE4"/>
    <mergeCell ref="AD21:AD22"/>
    <mergeCell ref="AE21:AE22"/>
    <mergeCell ref="H5:I5"/>
    <mergeCell ref="L5:M5"/>
    <mergeCell ref="V5:W5"/>
    <mergeCell ref="AF5:AG5"/>
    <mergeCell ref="AH5:AI5"/>
    <mergeCell ref="AJ5:AK5"/>
    <mergeCell ref="AL5:AM5"/>
    <mergeCell ref="AN5:AO5"/>
    <mergeCell ref="AP5:AQ5"/>
    <mergeCell ref="N5:O5"/>
    <mergeCell ref="P5:Q5"/>
    <mergeCell ref="R5:S5"/>
    <mergeCell ref="T5:U5"/>
    <mergeCell ref="N21:N22"/>
    <mergeCell ref="O21:O22"/>
    <mergeCell ref="P21:P22"/>
    <mergeCell ref="Q21:Q22"/>
    <mergeCell ref="R21:R22"/>
    <mergeCell ref="U23:U24"/>
    <mergeCell ref="N39:N40"/>
    <mergeCell ref="P39:P40"/>
    <mergeCell ref="R39:R40"/>
    <mergeCell ref="T39:T40"/>
    <mergeCell ref="S21:S22"/>
    <mergeCell ref="T21:T22"/>
    <mergeCell ref="U21:U22"/>
    <mergeCell ref="N23:N24"/>
    <mergeCell ref="O23:O24"/>
    <mergeCell ref="P23:P24"/>
    <mergeCell ref="Q23:Q24"/>
    <mergeCell ref="R23:R24"/>
    <mergeCell ref="S23:S24"/>
    <mergeCell ref="T23:T24"/>
    <mergeCell ref="I17:I18"/>
    <mergeCell ref="H19:H20"/>
    <mergeCell ref="H17:H18"/>
    <mergeCell ref="L17:L18"/>
    <mergeCell ref="M17:M18"/>
    <mergeCell ref="L19:L20"/>
    <mergeCell ref="M19:M20"/>
    <mergeCell ref="B15:E16"/>
    <mergeCell ref="G19:G20"/>
    <mergeCell ref="G17:G18"/>
    <mergeCell ref="I19:I20"/>
    <mergeCell ref="AU17:AU18"/>
    <mergeCell ref="AV17:AV18"/>
    <mergeCell ref="AW17:AW18"/>
    <mergeCell ref="AL17:AL18"/>
    <mergeCell ref="AM17:AM18"/>
    <mergeCell ref="AN17:AN18"/>
    <mergeCell ref="AO17:AO18"/>
    <mergeCell ref="AP17:AP18"/>
    <mergeCell ref="AQ17:AQ18"/>
    <mergeCell ref="AU19:AU20"/>
    <mergeCell ref="AV19:AV20"/>
    <mergeCell ref="AW19:AW20"/>
    <mergeCell ref="N17:N18"/>
    <mergeCell ref="O17:O18"/>
    <mergeCell ref="P17:P18"/>
    <mergeCell ref="Q17:Q18"/>
    <mergeCell ref="R17:R18"/>
    <mergeCell ref="S17:S18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L19:AL20"/>
    <mergeCell ref="AM19:AM20"/>
    <mergeCell ref="AJ19:AJ20"/>
    <mergeCell ref="AK19:AK20"/>
    <mergeCell ref="AR17:AR18"/>
    <mergeCell ref="AS17:AS18"/>
    <mergeCell ref="AT17:AT18"/>
    <mergeCell ref="X17:X18"/>
    <mergeCell ref="Y17:Y18"/>
    <mergeCell ref="Z17:Z18"/>
    <mergeCell ref="AA17:AA18"/>
    <mergeCell ref="T17:T18"/>
    <mergeCell ref="U17:U18"/>
    <mergeCell ref="V17:V18"/>
    <mergeCell ref="W17:W18"/>
    <mergeCell ref="AT19:AT20"/>
    <mergeCell ref="AE19:AE20"/>
    <mergeCell ref="AD19:AD20"/>
    <mergeCell ref="AE17:AE18"/>
    <mergeCell ref="AD17:AD18"/>
    <mergeCell ref="AF17:AF18"/>
    <mergeCell ref="AG17:AG18"/>
    <mergeCell ref="AF19:AF20"/>
    <mergeCell ref="AG19:AG20"/>
    <mergeCell ref="AC19:AC20"/>
    <mergeCell ref="B51:G51"/>
    <mergeCell ref="B17:D18"/>
    <mergeCell ref="AJ4:AK4"/>
    <mergeCell ref="AJ17:AJ18"/>
    <mergeCell ref="AK17:AK18"/>
    <mergeCell ref="AJ21:AJ22"/>
    <mergeCell ref="AK21:AK22"/>
    <mergeCell ref="AJ23:AJ24"/>
    <mergeCell ref="AK23:AK24"/>
    <mergeCell ref="X19:X20"/>
    <mergeCell ref="Y19:Y20"/>
    <mergeCell ref="Z19:Z20"/>
    <mergeCell ref="AA19:AA20"/>
    <mergeCell ref="T19:T20"/>
    <mergeCell ref="U19:U20"/>
    <mergeCell ref="V19:V20"/>
    <mergeCell ref="W19:W20"/>
    <mergeCell ref="N19:N20"/>
    <mergeCell ref="O19:O20"/>
    <mergeCell ref="P19:P20"/>
    <mergeCell ref="Q19:Q20"/>
    <mergeCell ref="R19:R20"/>
    <mergeCell ref="S19:S20"/>
    <mergeCell ref="O15:O16"/>
    <mergeCell ref="P15:P16"/>
    <mergeCell ref="Q15:Q16"/>
    <mergeCell ref="R15:R16"/>
    <mergeCell ref="S15:S16"/>
    <mergeCell ref="T15:T16"/>
    <mergeCell ref="G15:G16"/>
    <mergeCell ref="H15:H16"/>
    <mergeCell ref="I15:I16"/>
    <mergeCell ref="L15:L16"/>
    <mergeCell ref="M15:M16"/>
    <mergeCell ref="N15:N16"/>
    <mergeCell ref="U15:U16"/>
    <mergeCell ref="V15:V16"/>
    <mergeCell ref="W15:W16"/>
    <mergeCell ref="X15:X16"/>
    <mergeCell ref="Y15:Y16"/>
    <mergeCell ref="Z15:Z16"/>
    <mergeCell ref="AS15:AS16"/>
    <mergeCell ref="AT15:AT16"/>
    <mergeCell ref="AU15:AU16"/>
    <mergeCell ref="AV15:AV16"/>
    <mergeCell ref="AW15:AW16"/>
    <mergeCell ref="B13:E14"/>
    <mergeCell ref="G13:G14"/>
    <mergeCell ref="H13:H14"/>
    <mergeCell ref="I13:I14"/>
    <mergeCell ref="L13:L14"/>
    <mergeCell ref="AM15:AM16"/>
    <mergeCell ref="AN15:AN16"/>
    <mergeCell ref="AO15:AO16"/>
    <mergeCell ref="AP15:AP16"/>
    <mergeCell ref="AQ15:AQ16"/>
    <mergeCell ref="AR15:AR16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3:AC14"/>
    <mergeCell ref="AD13:AD14"/>
    <mergeCell ref="S13:S14"/>
    <mergeCell ref="T13:T14"/>
    <mergeCell ref="U13:U14"/>
    <mergeCell ref="V13:V14"/>
    <mergeCell ref="W13:W14"/>
    <mergeCell ref="X13:X14"/>
    <mergeCell ref="M13:M14"/>
    <mergeCell ref="N13:N14"/>
    <mergeCell ref="O13:O14"/>
    <mergeCell ref="P13:P14"/>
    <mergeCell ref="Q13:Q14"/>
    <mergeCell ref="R13:R14"/>
    <mergeCell ref="AW13:AW14"/>
    <mergeCell ref="B19:D20"/>
    <mergeCell ref="AQ13:AQ14"/>
    <mergeCell ref="AR13:AR14"/>
    <mergeCell ref="AS13:AS14"/>
    <mergeCell ref="AT13:AT14"/>
    <mergeCell ref="AU13:AU14"/>
    <mergeCell ref="AV13:AV14"/>
    <mergeCell ref="AK13:AK14"/>
    <mergeCell ref="AL13:AL14"/>
    <mergeCell ref="AM13:AM14"/>
    <mergeCell ref="AN13:AN14"/>
    <mergeCell ref="AO13:AO14"/>
    <mergeCell ref="AP13:AP14"/>
    <mergeCell ref="AE13:AE14"/>
    <mergeCell ref="AF13:AF14"/>
    <mergeCell ref="AG13:AG14"/>
    <mergeCell ref="AH13:AH14"/>
    <mergeCell ref="AI13:AI14"/>
    <mergeCell ref="AJ13:AJ14"/>
    <mergeCell ref="Y13:Y14"/>
    <mergeCell ref="Z13:Z14"/>
    <mergeCell ref="AA13:AA14"/>
    <mergeCell ref="AB13:AB14"/>
  </mergeCells>
  <conditionalFormatting sqref="E18:F18">
    <cfRule type="containsText" dxfId="14" priority="10" operator="containsText" text="YES">
      <formula>NOT(ISERROR(SEARCH("YES",E18)))</formula>
    </cfRule>
  </conditionalFormatting>
  <conditionalFormatting sqref="F14">
    <cfRule type="containsText" dxfId="13" priority="5" operator="containsText" text="YES">
      <formula>NOT(ISERROR(SEARCH("YES",F14)))</formula>
    </cfRule>
  </conditionalFormatting>
  <conditionalFormatting sqref="F16">
    <cfRule type="containsText" dxfId="12" priority="4" operator="containsText" text="YES">
      <formula>NOT(ISERROR(SEARCH("YES",F16)))</formula>
    </cfRule>
  </conditionalFormatting>
  <conditionalFormatting sqref="F20">
    <cfRule type="containsText" dxfId="11" priority="7" operator="containsText" text="YES">
      <formula>NOT(ISERROR(SEARCH("YES",F20)))</formula>
    </cfRule>
  </conditionalFormatting>
  <conditionalFormatting sqref="F22">
    <cfRule type="containsText" dxfId="10" priority="1" operator="containsText" text="YES">
      <formula>NOT(ISERROR(SEARCH("YES",F22)))</formula>
    </cfRule>
  </conditionalFormatting>
  <conditionalFormatting sqref="F24">
    <cfRule type="cellIs" dxfId="9" priority="2" operator="equal">
      <formula>"YES"</formula>
    </cfRule>
  </conditionalFormatting>
  <conditionalFormatting sqref="F40:F41">
    <cfRule type="containsText" dxfId="8" priority="11" operator="containsText" text="YES">
      <formula>NOT(ISERROR(SEARCH("YES",F40)))</formula>
    </cfRule>
  </conditionalFormatting>
  <dataValidations disablePrompts="1" count="3">
    <dataValidation type="list" allowBlank="1" showInputMessage="1" showErrorMessage="1" sqref="F40:F41" xr:uid="{2A946F43-4F8B-4C40-BD2D-B809EF93F424}">
      <formula1>$BF$2:$BF$4</formula1>
    </dataValidation>
    <dataValidation type="whole" allowBlank="1" showInputMessage="1" showErrorMessage="1" sqref="E18" xr:uid="{46B09BB2-B815-4E02-81E7-3E01C5F5B9AF}">
      <formula1>1000</formula1>
      <formula2>2000</formula2>
    </dataValidation>
    <dataValidation type="list" allowBlank="1" showInputMessage="1" showErrorMessage="1" sqref="F24" xr:uid="{7BFE7890-F36D-468F-8C00-4F12F2FB70F4}">
      <formula1>State</formula1>
    </dataValidation>
  </dataValidations>
  <pageMargins left="0.7" right="0.7" top="0.75" bottom="0.75" header="0.3" footer="0.3"/>
  <pageSetup scale="2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1E3B-C5D7-4373-8FCF-FE894AF8E79D}">
  <sheetPr>
    <tabColor rgb="FF00B0F0"/>
  </sheetPr>
  <dimension ref="A1:U73"/>
  <sheetViews>
    <sheetView zoomScale="130" zoomScaleNormal="130" workbookViewId="0">
      <pane xSplit="1" ySplit="2" topLeftCell="B3" activePane="bottomRight" state="frozenSplit"/>
      <selection pane="bottomRight" activeCell="G18" sqref="G18"/>
      <selection pane="bottomLeft" activeCell="G18" sqref="G18"/>
      <selection pane="topRight" activeCell="G18" sqref="G18"/>
    </sheetView>
  </sheetViews>
  <sheetFormatPr defaultColWidth="8.85546875" defaultRowHeight="15.75"/>
  <cols>
    <col min="1" max="1" width="21.85546875" style="8" customWidth="1"/>
    <col min="2" max="2" width="10.7109375" style="8" bestFit="1" customWidth="1"/>
    <col min="3" max="3" width="21.28515625" style="8" customWidth="1"/>
    <col min="4" max="4" width="13.7109375" style="8" customWidth="1"/>
    <col min="5" max="5" width="21.7109375" style="8" customWidth="1"/>
    <col min="6" max="6" width="28.28515625" style="8" bestFit="1" customWidth="1"/>
    <col min="7" max="7" width="5.7109375" style="8" bestFit="1" customWidth="1"/>
    <col min="8" max="8" width="8.85546875" style="9"/>
    <col min="9" max="10" width="13.28515625" style="8" customWidth="1"/>
    <col min="11" max="11" width="28" style="8" customWidth="1"/>
    <col min="12" max="12" width="8.85546875" style="8"/>
    <col min="13" max="13" width="29.28515625" style="8" bestFit="1" customWidth="1"/>
    <col min="14" max="14" width="31.28515625" style="8" bestFit="1" customWidth="1"/>
    <col min="15" max="15" width="11.28515625" style="8" bestFit="1" customWidth="1"/>
    <col min="16" max="16" width="21.28515625" style="8" bestFit="1" customWidth="1"/>
    <col min="17" max="17" width="32.85546875" style="8" customWidth="1"/>
    <col min="18" max="18" width="17.7109375" style="8" bestFit="1" customWidth="1"/>
    <col min="19" max="19" width="26" style="8" bestFit="1" customWidth="1"/>
    <col min="20" max="20" width="16.5703125" style="8" bestFit="1" customWidth="1"/>
    <col min="21" max="21" width="16.28515625" style="8" bestFit="1" customWidth="1"/>
    <col min="22" max="16384" width="8.85546875" style="8"/>
  </cols>
  <sheetData>
    <row r="1" spans="1:21" ht="31.5">
      <c r="A1" s="7" t="s">
        <v>380</v>
      </c>
      <c r="M1" s="10" t="s">
        <v>381</v>
      </c>
      <c r="N1" s="10" t="s">
        <v>382</v>
      </c>
      <c r="O1" s="10" t="s">
        <v>383</v>
      </c>
      <c r="P1" s="11" t="s">
        <v>384</v>
      </c>
      <c r="Q1" s="11" t="s">
        <v>385</v>
      </c>
      <c r="R1" s="12" t="s">
        <v>386</v>
      </c>
      <c r="S1" s="12" t="s">
        <v>387</v>
      </c>
      <c r="T1" s="11" t="s">
        <v>388</v>
      </c>
      <c r="U1" s="11" t="s">
        <v>389</v>
      </c>
    </row>
    <row r="2" spans="1:21" ht="18.75">
      <c r="A2" s="13" t="s">
        <v>238</v>
      </c>
      <c r="B2" s="13" t="s">
        <v>390</v>
      </c>
      <c r="C2" s="13" t="s">
        <v>391</v>
      </c>
      <c r="D2" s="13" t="s">
        <v>392</v>
      </c>
      <c r="E2" s="13" t="s">
        <v>393</v>
      </c>
      <c r="F2" s="13" t="s">
        <v>394</v>
      </c>
      <c r="G2" s="13" t="s">
        <v>395</v>
      </c>
      <c r="H2" s="14" t="s">
        <v>396</v>
      </c>
      <c r="I2" s="13" t="s">
        <v>397</v>
      </c>
      <c r="J2" s="13" t="s">
        <v>398</v>
      </c>
      <c r="K2" s="13" t="s">
        <v>399</v>
      </c>
      <c r="M2" s="15" t="s">
        <v>400</v>
      </c>
      <c r="N2" s="15" t="s">
        <v>400</v>
      </c>
      <c r="O2" s="15" t="s">
        <v>400</v>
      </c>
      <c r="P2" s="15" t="s">
        <v>400</v>
      </c>
      <c r="Q2" s="15" t="s">
        <v>400</v>
      </c>
      <c r="R2" s="15" t="s">
        <v>400</v>
      </c>
      <c r="S2" s="15" t="s">
        <v>400</v>
      </c>
      <c r="T2" s="15" t="s">
        <v>400</v>
      </c>
      <c r="U2" s="15" t="s">
        <v>400</v>
      </c>
    </row>
    <row r="3" spans="1:21">
      <c r="A3" s="16" t="s">
        <v>401</v>
      </c>
      <c r="B3" s="17" t="str" cm="1">
        <f t="array" ref="B3">_xlfn.XLOOKUP(A3,HVAC_System,HVAC_Systems___Abbreviations)</f>
        <v>ACD</v>
      </c>
      <c r="C3" s="16" t="s">
        <v>402</v>
      </c>
      <c r="D3" s="17" t="str" cm="1">
        <f t="array" ref="D3">_xlfn.XLOOKUP(C3,HVAC_Area_Name,HVAC_Area_Code)</f>
        <v>XX</v>
      </c>
      <c r="E3" s="16" t="s">
        <v>403</v>
      </c>
      <c r="F3" s="17" t="str" cm="1">
        <f t="array" ref="F3">_xlfn.XLOOKUP(E3,HVAC_Material_Description,HVAC_Material_Code)</f>
        <v>FGA</v>
      </c>
      <c r="G3" s="17" t="str" cm="1">
        <f t="array" ref="G3">_xlfn.XLOOKUP(A3,HVAC_System,HVAC_Unit)</f>
        <v>LF</v>
      </c>
      <c r="H3" s="18">
        <v>0.25</v>
      </c>
      <c r="I3" s="16">
        <v>2</v>
      </c>
      <c r="J3" s="16">
        <v>1</v>
      </c>
      <c r="K3" s="17"/>
      <c r="M3" s="19" t="s">
        <v>401</v>
      </c>
      <c r="N3" s="20" t="s">
        <v>404</v>
      </c>
      <c r="O3" s="21" t="s">
        <v>273</v>
      </c>
      <c r="P3" s="22" t="s">
        <v>405</v>
      </c>
      <c r="Q3" s="22" t="s">
        <v>406</v>
      </c>
      <c r="R3" s="23" t="s">
        <v>407</v>
      </c>
      <c r="S3" s="23" t="s">
        <v>402</v>
      </c>
      <c r="T3" s="24">
        <v>0.25</v>
      </c>
      <c r="U3" s="24">
        <v>0.25</v>
      </c>
    </row>
    <row r="4" spans="1:21">
      <c r="A4" s="16"/>
      <c r="B4" s="17"/>
      <c r="C4" s="16"/>
      <c r="D4" s="17"/>
      <c r="E4" s="16"/>
      <c r="F4" s="17"/>
      <c r="G4" s="17"/>
      <c r="H4" s="18"/>
      <c r="I4" s="16"/>
      <c r="J4" s="16"/>
      <c r="K4" s="17"/>
      <c r="M4" s="19" t="s">
        <v>408</v>
      </c>
      <c r="N4" s="20" t="s">
        <v>409</v>
      </c>
      <c r="O4" s="21" t="s">
        <v>273</v>
      </c>
      <c r="P4" s="22" t="s">
        <v>410</v>
      </c>
      <c r="Q4" s="22" t="s">
        <v>411</v>
      </c>
      <c r="R4" s="21" t="s">
        <v>412</v>
      </c>
      <c r="S4" s="21" t="s">
        <v>413</v>
      </c>
      <c r="T4" s="24">
        <v>0.5</v>
      </c>
      <c r="U4" s="24">
        <f>+U3+0.125</f>
        <v>0.375</v>
      </c>
    </row>
    <row r="5" spans="1:21">
      <c r="A5" s="16"/>
      <c r="B5" s="17"/>
      <c r="C5" s="16"/>
      <c r="D5" s="17"/>
      <c r="E5" s="16"/>
      <c r="F5" s="17"/>
      <c r="G5" s="17"/>
      <c r="H5" s="18"/>
      <c r="I5" s="16"/>
      <c r="J5" s="16"/>
      <c r="K5" s="17"/>
      <c r="M5" s="19" t="s">
        <v>414</v>
      </c>
      <c r="N5" s="20" t="s">
        <v>415</v>
      </c>
      <c r="O5" s="21" t="s">
        <v>273</v>
      </c>
      <c r="P5" s="22" t="s">
        <v>416</v>
      </c>
      <c r="Q5" s="22" t="s">
        <v>417</v>
      </c>
      <c r="R5" s="21" t="s">
        <v>418</v>
      </c>
      <c r="S5" s="21" t="s">
        <v>419</v>
      </c>
      <c r="T5" s="24">
        <v>0.75</v>
      </c>
      <c r="U5" s="24">
        <f t="shared" ref="U5:U13" si="0">+U4+0.125</f>
        <v>0.5</v>
      </c>
    </row>
    <row r="6" spans="1:21">
      <c r="A6" s="16"/>
      <c r="B6" s="17"/>
      <c r="C6" s="16"/>
      <c r="D6" s="17"/>
      <c r="E6" s="16"/>
      <c r="F6" s="17"/>
      <c r="G6" s="17"/>
      <c r="H6" s="18"/>
      <c r="I6" s="16"/>
      <c r="J6" s="16"/>
      <c r="K6" s="17"/>
      <c r="M6" s="19" t="s">
        <v>420</v>
      </c>
      <c r="N6" s="20" t="s">
        <v>421</v>
      </c>
      <c r="O6" s="21" t="s">
        <v>273</v>
      </c>
      <c r="P6" s="22" t="s">
        <v>422</v>
      </c>
      <c r="Q6" s="22" t="s">
        <v>423</v>
      </c>
      <c r="R6" s="21" t="s">
        <v>424</v>
      </c>
      <c r="S6" s="21" t="s">
        <v>425</v>
      </c>
      <c r="T6" s="24">
        <v>1</v>
      </c>
      <c r="U6" s="24">
        <f t="shared" si="0"/>
        <v>0.625</v>
      </c>
    </row>
    <row r="7" spans="1:21">
      <c r="A7" s="16"/>
      <c r="B7" s="17"/>
      <c r="C7" s="16"/>
      <c r="D7" s="17"/>
      <c r="E7" s="16"/>
      <c r="F7" s="17"/>
      <c r="G7" s="17"/>
      <c r="H7" s="18"/>
      <c r="I7" s="16"/>
      <c r="J7" s="16"/>
      <c r="K7" s="17"/>
      <c r="M7" s="19" t="s">
        <v>426</v>
      </c>
      <c r="N7" s="20" t="s">
        <v>427</v>
      </c>
      <c r="O7" s="21" t="s">
        <v>273</v>
      </c>
      <c r="P7" s="22" t="s">
        <v>428</v>
      </c>
      <c r="Q7" s="22" t="s">
        <v>429</v>
      </c>
      <c r="R7" s="21" t="s">
        <v>430</v>
      </c>
      <c r="S7" s="21" t="s">
        <v>431</v>
      </c>
      <c r="T7" s="24">
        <v>1.25</v>
      </c>
      <c r="U7" s="24">
        <f t="shared" si="0"/>
        <v>0.75</v>
      </c>
    </row>
    <row r="8" spans="1:21">
      <c r="A8" s="16"/>
      <c r="B8" s="17"/>
      <c r="C8" s="16"/>
      <c r="D8" s="17"/>
      <c r="E8" s="16"/>
      <c r="F8" s="17"/>
      <c r="G8" s="17"/>
      <c r="H8" s="18"/>
      <c r="I8" s="16"/>
      <c r="J8" s="16"/>
      <c r="K8" s="17"/>
      <c r="M8" s="19" t="s">
        <v>432</v>
      </c>
      <c r="N8" s="20" t="s">
        <v>433</v>
      </c>
      <c r="O8" s="21" t="s">
        <v>273</v>
      </c>
      <c r="P8" s="21" t="s">
        <v>434</v>
      </c>
      <c r="Q8" s="21" t="s">
        <v>435</v>
      </c>
      <c r="R8" s="25" t="s">
        <v>436</v>
      </c>
      <c r="S8" s="25" t="s">
        <v>437</v>
      </c>
      <c r="T8" s="24">
        <v>1.5</v>
      </c>
      <c r="U8" s="24">
        <f t="shared" si="0"/>
        <v>0.875</v>
      </c>
    </row>
    <row r="9" spans="1:21">
      <c r="A9" s="16"/>
      <c r="B9" s="17"/>
      <c r="C9" s="16"/>
      <c r="D9" s="17"/>
      <c r="E9" s="16"/>
      <c r="F9" s="17"/>
      <c r="G9" s="17"/>
      <c r="H9" s="18"/>
      <c r="I9" s="16"/>
      <c r="J9" s="16"/>
      <c r="K9" s="17"/>
      <c r="M9" s="19" t="s">
        <v>438</v>
      </c>
      <c r="N9" s="20" t="s">
        <v>439</v>
      </c>
      <c r="O9" s="21" t="s">
        <v>273</v>
      </c>
      <c r="P9" s="26" t="s">
        <v>440</v>
      </c>
      <c r="Q9" s="26" t="s">
        <v>403</v>
      </c>
      <c r="R9" s="25" t="s">
        <v>441</v>
      </c>
      <c r="S9" s="25" t="s">
        <v>214</v>
      </c>
      <c r="T9" s="24">
        <v>1.75</v>
      </c>
      <c r="U9" s="24">
        <f t="shared" si="0"/>
        <v>1</v>
      </c>
    </row>
    <row r="10" spans="1:21">
      <c r="A10" s="16"/>
      <c r="B10" s="17"/>
      <c r="C10" s="16"/>
      <c r="D10" s="17"/>
      <c r="E10" s="16"/>
      <c r="F10" s="17"/>
      <c r="G10" s="17"/>
      <c r="H10" s="18"/>
      <c r="I10" s="16"/>
      <c r="J10" s="16"/>
      <c r="K10" s="17"/>
      <c r="M10" s="19" t="s">
        <v>442</v>
      </c>
      <c r="N10" s="20" t="s">
        <v>443</v>
      </c>
      <c r="O10" s="21" t="s">
        <v>273</v>
      </c>
      <c r="P10" s="26" t="s">
        <v>444</v>
      </c>
      <c r="Q10" s="26" t="s">
        <v>445</v>
      </c>
      <c r="R10" s="21" t="s">
        <v>446</v>
      </c>
      <c r="S10" s="21" t="s">
        <v>447</v>
      </c>
      <c r="T10" s="24">
        <v>2</v>
      </c>
      <c r="U10" s="24">
        <f t="shared" si="0"/>
        <v>1.125</v>
      </c>
    </row>
    <row r="11" spans="1:21">
      <c r="A11" s="16"/>
      <c r="B11" s="17"/>
      <c r="C11" s="16"/>
      <c r="D11" s="17"/>
      <c r="E11" s="16"/>
      <c r="F11" s="17"/>
      <c r="G11" s="17"/>
      <c r="H11" s="18"/>
      <c r="I11" s="16"/>
      <c r="J11" s="16"/>
      <c r="K11" s="17"/>
      <c r="M11" s="19" t="s">
        <v>448</v>
      </c>
      <c r="N11" s="20" t="s">
        <v>449</v>
      </c>
      <c r="O11" s="21" t="s">
        <v>273</v>
      </c>
      <c r="P11" s="26" t="s">
        <v>450</v>
      </c>
      <c r="Q11" s="26" t="s">
        <v>451</v>
      </c>
      <c r="R11" s="21" t="s">
        <v>452</v>
      </c>
      <c r="S11" s="21" t="s">
        <v>453</v>
      </c>
      <c r="T11" s="24">
        <v>2.5</v>
      </c>
      <c r="U11" s="24">
        <f t="shared" si="0"/>
        <v>1.25</v>
      </c>
    </row>
    <row r="12" spans="1:21">
      <c r="A12" s="16"/>
      <c r="B12" s="17"/>
      <c r="C12" s="16"/>
      <c r="D12" s="17"/>
      <c r="E12" s="16"/>
      <c r="F12" s="17"/>
      <c r="G12" s="17"/>
      <c r="H12" s="18"/>
      <c r="I12" s="16"/>
      <c r="J12" s="16"/>
      <c r="K12" s="17"/>
      <c r="M12" s="19" t="s">
        <v>454</v>
      </c>
      <c r="N12" s="20" t="s">
        <v>455</v>
      </c>
      <c r="O12" s="21" t="s">
        <v>273</v>
      </c>
      <c r="P12" s="26" t="s">
        <v>456</v>
      </c>
      <c r="Q12" s="26" t="s">
        <v>457</v>
      </c>
      <c r="R12" s="21" t="s">
        <v>458</v>
      </c>
      <c r="S12" s="21" t="s">
        <v>459</v>
      </c>
      <c r="T12" s="24">
        <v>2.75</v>
      </c>
      <c r="U12" s="24">
        <f t="shared" si="0"/>
        <v>1.375</v>
      </c>
    </row>
    <row r="13" spans="1:21">
      <c r="A13" s="16"/>
      <c r="B13" s="17"/>
      <c r="C13" s="16"/>
      <c r="D13" s="17"/>
      <c r="E13" s="16"/>
      <c r="F13" s="17"/>
      <c r="G13" s="17"/>
      <c r="H13" s="18"/>
      <c r="I13" s="16"/>
      <c r="J13" s="16"/>
      <c r="K13" s="17"/>
      <c r="M13" s="19" t="s">
        <v>460</v>
      </c>
      <c r="N13" s="20" t="s">
        <v>461</v>
      </c>
      <c r="O13" s="21" t="s">
        <v>273</v>
      </c>
      <c r="P13" s="26" t="s">
        <v>462</v>
      </c>
      <c r="Q13" s="26" t="s">
        <v>463</v>
      </c>
      <c r="R13" s="21" t="s">
        <v>464</v>
      </c>
      <c r="S13" s="21" t="s">
        <v>465</v>
      </c>
      <c r="T13" s="24">
        <v>3</v>
      </c>
      <c r="U13" s="24">
        <f t="shared" si="0"/>
        <v>1.5</v>
      </c>
    </row>
    <row r="14" spans="1:21">
      <c r="A14" s="16"/>
      <c r="B14" s="17"/>
      <c r="C14" s="16"/>
      <c r="D14" s="17"/>
      <c r="E14" s="16"/>
      <c r="F14" s="17"/>
      <c r="G14" s="17"/>
      <c r="H14" s="18"/>
      <c r="I14" s="16"/>
      <c r="J14" s="16"/>
      <c r="K14" s="17"/>
      <c r="M14" s="19" t="s">
        <v>466</v>
      </c>
      <c r="N14" s="20" t="s">
        <v>467</v>
      </c>
      <c r="O14" s="21" t="s">
        <v>273</v>
      </c>
      <c r="P14" s="26" t="s">
        <v>468</v>
      </c>
      <c r="Q14" s="26" t="s">
        <v>469</v>
      </c>
      <c r="R14" s="25" t="s">
        <v>470</v>
      </c>
      <c r="S14" s="25" t="s">
        <v>471</v>
      </c>
      <c r="T14" s="24">
        <v>3.5</v>
      </c>
      <c r="U14" s="24">
        <f>+U13+0.25</f>
        <v>1.75</v>
      </c>
    </row>
    <row r="15" spans="1:21">
      <c r="A15" s="16"/>
      <c r="B15" s="17"/>
      <c r="C15" s="16"/>
      <c r="D15" s="17"/>
      <c r="E15" s="16"/>
      <c r="F15" s="17"/>
      <c r="G15" s="17"/>
      <c r="H15" s="18"/>
      <c r="I15" s="16"/>
      <c r="J15" s="16"/>
      <c r="K15" s="17"/>
      <c r="M15" s="19" t="s">
        <v>472</v>
      </c>
      <c r="N15" s="20" t="s">
        <v>473</v>
      </c>
      <c r="O15" s="21" t="s">
        <v>273</v>
      </c>
      <c r="P15" s="26" t="s">
        <v>474</v>
      </c>
      <c r="Q15" s="26" t="s">
        <v>475</v>
      </c>
      <c r="R15" s="25" t="s">
        <v>476</v>
      </c>
      <c r="S15" s="25" t="s">
        <v>477</v>
      </c>
      <c r="T15" s="24">
        <v>4</v>
      </c>
      <c r="U15" s="24">
        <f t="shared" ref="U15" si="1">+U14+0.25</f>
        <v>2</v>
      </c>
    </row>
    <row r="16" spans="1:21">
      <c r="A16" s="16"/>
      <c r="B16" s="17"/>
      <c r="C16" s="16"/>
      <c r="D16" s="17"/>
      <c r="E16" s="16"/>
      <c r="F16" s="17"/>
      <c r="G16" s="17"/>
      <c r="H16" s="18"/>
      <c r="I16" s="16"/>
      <c r="J16" s="16"/>
      <c r="K16" s="17"/>
      <c r="M16" s="19" t="s">
        <v>478</v>
      </c>
      <c r="N16" s="20" t="s">
        <v>479</v>
      </c>
      <c r="O16" s="21" t="s">
        <v>273</v>
      </c>
      <c r="P16" s="26" t="s">
        <v>480</v>
      </c>
      <c r="Q16" s="26" t="s">
        <v>481</v>
      </c>
      <c r="R16" s="25" t="s">
        <v>482</v>
      </c>
      <c r="S16" s="25" t="s">
        <v>483</v>
      </c>
      <c r="T16" s="24">
        <v>5</v>
      </c>
      <c r="U16" s="24">
        <f>+U15+0.5</f>
        <v>2.5</v>
      </c>
    </row>
    <row r="17" spans="13:21">
      <c r="M17" s="19" t="s">
        <v>484</v>
      </c>
      <c r="N17" s="20" t="s">
        <v>485</v>
      </c>
      <c r="O17" s="21" t="s">
        <v>273</v>
      </c>
      <c r="P17" s="26" t="s">
        <v>486</v>
      </c>
      <c r="Q17" s="26" t="s">
        <v>487</v>
      </c>
      <c r="R17" s="25" t="s">
        <v>488</v>
      </c>
      <c r="S17" s="25" t="s">
        <v>489</v>
      </c>
      <c r="T17" s="24">
        <v>6</v>
      </c>
      <c r="U17" s="24">
        <f t="shared" ref="U17:U19" si="2">+U16+0.5</f>
        <v>3</v>
      </c>
    </row>
    <row r="18" spans="13:21">
      <c r="M18" s="19" t="s">
        <v>490</v>
      </c>
      <c r="N18" s="20" t="s">
        <v>491</v>
      </c>
      <c r="O18" s="21" t="s">
        <v>273</v>
      </c>
      <c r="P18" s="26" t="s">
        <v>492</v>
      </c>
      <c r="Q18" s="26" t="s">
        <v>493</v>
      </c>
      <c r="R18" s="21" t="s">
        <v>494</v>
      </c>
      <c r="S18" s="21" t="s">
        <v>495</v>
      </c>
      <c r="T18" s="24">
        <v>7</v>
      </c>
      <c r="U18" s="24">
        <f t="shared" si="2"/>
        <v>3.5</v>
      </c>
    </row>
    <row r="19" spans="13:21">
      <c r="M19" s="19" t="s">
        <v>496</v>
      </c>
      <c r="N19" s="20" t="s">
        <v>497</v>
      </c>
      <c r="O19" s="21" t="s">
        <v>273</v>
      </c>
      <c r="P19" s="27" t="s">
        <v>498</v>
      </c>
      <c r="Q19" s="27" t="s">
        <v>499</v>
      </c>
      <c r="R19" s="21" t="s">
        <v>500</v>
      </c>
      <c r="S19" s="21" t="s">
        <v>501</v>
      </c>
      <c r="T19" s="24">
        <v>8</v>
      </c>
      <c r="U19" s="24">
        <f t="shared" si="2"/>
        <v>4</v>
      </c>
    </row>
    <row r="20" spans="13:21">
      <c r="M20" s="19" t="s">
        <v>502</v>
      </c>
      <c r="N20" s="20" t="s">
        <v>503</v>
      </c>
      <c r="O20" s="21" t="s">
        <v>273</v>
      </c>
      <c r="P20" s="27" t="s">
        <v>504</v>
      </c>
      <c r="Q20" s="27" t="s">
        <v>505</v>
      </c>
      <c r="R20" s="21" t="s">
        <v>506</v>
      </c>
      <c r="S20" s="21" t="s">
        <v>507</v>
      </c>
      <c r="T20" s="24"/>
      <c r="U20" s="24">
        <f>+U19+1</f>
        <v>5</v>
      </c>
    </row>
    <row r="21" spans="13:21">
      <c r="M21" s="19" t="s">
        <v>508</v>
      </c>
      <c r="N21" s="20" t="s">
        <v>509</v>
      </c>
      <c r="O21" s="21" t="s">
        <v>273</v>
      </c>
      <c r="P21" s="27" t="s">
        <v>510</v>
      </c>
      <c r="Q21" s="27" t="s">
        <v>511</v>
      </c>
      <c r="R21" s="21" t="s">
        <v>512</v>
      </c>
      <c r="S21" s="21" t="s">
        <v>513</v>
      </c>
      <c r="T21" s="24"/>
      <c r="U21" s="24">
        <f t="shared" ref="U21:U27" si="3">+U20+1</f>
        <v>6</v>
      </c>
    </row>
    <row r="22" spans="13:21">
      <c r="M22" s="19" t="s">
        <v>514</v>
      </c>
      <c r="N22" s="20" t="s">
        <v>515</v>
      </c>
      <c r="O22" s="21" t="s">
        <v>273</v>
      </c>
      <c r="P22" s="27" t="s">
        <v>516</v>
      </c>
      <c r="Q22" s="27" t="s">
        <v>517</v>
      </c>
      <c r="R22" s="21" t="s">
        <v>518</v>
      </c>
      <c r="S22" s="21" t="s">
        <v>519</v>
      </c>
      <c r="T22" s="24"/>
      <c r="U22" s="24">
        <f t="shared" si="3"/>
        <v>7</v>
      </c>
    </row>
    <row r="23" spans="13:21">
      <c r="M23" s="19" t="s">
        <v>520</v>
      </c>
      <c r="N23" s="20" t="s">
        <v>521</v>
      </c>
      <c r="O23" s="21" t="s">
        <v>273</v>
      </c>
      <c r="P23" s="27" t="s">
        <v>522</v>
      </c>
      <c r="Q23" s="27" t="s">
        <v>523</v>
      </c>
      <c r="R23" s="21" t="s">
        <v>524</v>
      </c>
      <c r="S23" s="21" t="s">
        <v>525</v>
      </c>
      <c r="T23" s="24"/>
      <c r="U23" s="24">
        <f t="shared" si="3"/>
        <v>8</v>
      </c>
    </row>
    <row r="24" spans="13:21">
      <c r="M24" s="19" t="s">
        <v>526</v>
      </c>
      <c r="N24" s="20" t="s">
        <v>527</v>
      </c>
      <c r="O24" s="21" t="s">
        <v>273</v>
      </c>
      <c r="P24" s="28" t="s">
        <v>528</v>
      </c>
      <c r="Q24" s="28" t="s">
        <v>529</v>
      </c>
      <c r="R24" s="21" t="s">
        <v>530</v>
      </c>
      <c r="S24" s="21" t="s">
        <v>531</v>
      </c>
      <c r="T24" s="24"/>
      <c r="U24" s="24">
        <f t="shared" si="3"/>
        <v>9</v>
      </c>
    </row>
    <row r="25" spans="13:21">
      <c r="M25" s="19" t="s">
        <v>532</v>
      </c>
      <c r="N25" s="20" t="s">
        <v>533</v>
      </c>
      <c r="O25" s="21" t="s">
        <v>273</v>
      </c>
      <c r="P25" s="28" t="s">
        <v>534</v>
      </c>
      <c r="Q25" s="28" t="s">
        <v>535</v>
      </c>
      <c r="R25" s="21" t="s">
        <v>536</v>
      </c>
      <c r="S25" s="21" t="s">
        <v>537</v>
      </c>
      <c r="T25" s="24"/>
      <c r="U25" s="24">
        <f t="shared" si="3"/>
        <v>10</v>
      </c>
    </row>
    <row r="26" spans="13:21">
      <c r="M26" s="19" t="s">
        <v>538</v>
      </c>
      <c r="N26" s="20" t="s">
        <v>539</v>
      </c>
      <c r="O26" s="21" t="s">
        <v>273</v>
      </c>
      <c r="P26" s="28" t="s">
        <v>540</v>
      </c>
      <c r="Q26" s="28" t="s">
        <v>541</v>
      </c>
      <c r="R26" s="21" t="s">
        <v>542</v>
      </c>
      <c r="S26" s="21" t="s">
        <v>543</v>
      </c>
      <c r="T26" s="24"/>
      <c r="U26" s="24">
        <f t="shared" si="3"/>
        <v>11</v>
      </c>
    </row>
    <row r="27" spans="13:21">
      <c r="M27" s="19" t="s">
        <v>544</v>
      </c>
      <c r="N27" s="20" t="s">
        <v>545</v>
      </c>
      <c r="O27" s="21" t="s">
        <v>273</v>
      </c>
      <c r="P27" s="28" t="s">
        <v>546</v>
      </c>
      <c r="Q27" s="28" t="s">
        <v>547</v>
      </c>
      <c r="R27" s="21" t="s">
        <v>548</v>
      </c>
      <c r="S27" s="21" t="s">
        <v>549</v>
      </c>
      <c r="T27" s="24"/>
      <c r="U27" s="24">
        <f t="shared" si="3"/>
        <v>12</v>
      </c>
    </row>
    <row r="28" spans="13:21">
      <c r="M28" s="19" t="s">
        <v>550</v>
      </c>
      <c r="N28" s="20" t="s">
        <v>551</v>
      </c>
      <c r="O28" s="21" t="s">
        <v>273</v>
      </c>
      <c r="P28" s="28" t="s">
        <v>552</v>
      </c>
      <c r="Q28" s="28" t="s">
        <v>553</v>
      </c>
      <c r="R28" s="21" t="s">
        <v>554</v>
      </c>
      <c r="S28" s="21" t="s">
        <v>555</v>
      </c>
      <c r="T28" s="24"/>
      <c r="U28" s="24"/>
    </row>
    <row r="29" spans="13:21">
      <c r="M29" s="19" t="s">
        <v>556</v>
      </c>
      <c r="N29" s="20" t="s">
        <v>557</v>
      </c>
      <c r="O29" s="21" t="s">
        <v>273</v>
      </c>
      <c r="P29" s="28" t="s">
        <v>558</v>
      </c>
      <c r="Q29" s="28" t="s">
        <v>559</v>
      </c>
      <c r="R29" s="21"/>
      <c r="S29" s="21"/>
      <c r="T29" s="24"/>
      <c r="U29" s="24"/>
    </row>
    <row r="30" spans="13:21">
      <c r="M30" s="19" t="s">
        <v>560</v>
      </c>
      <c r="N30" s="20" t="s">
        <v>561</v>
      </c>
      <c r="O30" s="17"/>
      <c r="P30" s="28" t="s">
        <v>562</v>
      </c>
      <c r="Q30" s="28" t="s">
        <v>563</v>
      </c>
      <c r="R30" s="21"/>
      <c r="S30" s="21"/>
      <c r="T30" s="24"/>
      <c r="U30" s="24"/>
    </row>
    <row r="31" spans="13:21">
      <c r="M31" s="19" t="s">
        <v>564</v>
      </c>
      <c r="N31" s="20" t="s">
        <v>565</v>
      </c>
      <c r="O31" s="17"/>
      <c r="P31" s="28" t="s">
        <v>566</v>
      </c>
      <c r="Q31" s="28" t="s">
        <v>567</v>
      </c>
      <c r="R31" s="21"/>
      <c r="S31" s="21"/>
      <c r="T31" s="24"/>
      <c r="U31" s="24"/>
    </row>
    <row r="32" spans="13:21">
      <c r="M32" s="19" t="s">
        <v>568</v>
      </c>
      <c r="N32" s="20" t="s">
        <v>569</v>
      </c>
      <c r="O32" s="17"/>
      <c r="P32" s="28" t="s">
        <v>570</v>
      </c>
      <c r="Q32" s="28" t="s">
        <v>571</v>
      </c>
      <c r="R32" s="21"/>
      <c r="S32" s="21"/>
      <c r="T32" s="24"/>
      <c r="U32" s="24"/>
    </row>
    <row r="33" spans="13:21">
      <c r="M33" s="19" t="s">
        <v>572</v>
      </c>
      <c r="N33" s="20" t="s">
        <v>573</v>
      </c>
      <c r="O33" s="17"/>
      <c r="P33" s="28" t="s">
        <v>574</v>
      </c>
      <c r="Q33" s="28" t="s">
        <v>575</v>
      </c>
      <c r="R33" s="21"/>
      <c r="S33" s="21"/>
      <c r="T33" s="24"/>
      <c r="U33" s="24"/>
    </row>
    <row r="34" spans="13:21">
      <c r="M34" s="19" t="s">
        <v>576</v>
      </c>
      <c r="N34" s="20" t="s">
        <v>577</v>
      </c>
      <c r="O34" s="17"/>
      <c r="P34" s="21"/>
      <c r="Q34" s="21" t="s">
        <v>578</v>
      </c>
      <c r="R34" s="21"/>
      <c r="S34" s="21"/>
      <c r="T34" s="24"/>
      <c r="U34" s="24"/>
    </row>
    <row r="35" spans="13:21">
      <c r="M35" s="19" t="s">
        <v>579</v>
      </c>
      <c r="N35" s="20" t="s">
        <v>580</v>
      </c>
      <c r="O35" s="17"/>
      <c r="P35" s="21"/>
      <c r="Q35" s="21"/>
      <c r="R35" s="21"/>
      <c r="S35" s="21"/>
      <c r="T35" s="24"/>
      <c r="U35" s="24"/>
    </row>
    <row r="36" spans="13:21">
      <c r="M36" s="17"/>
      <c r="N36" s="17"/>
      <c r="O36" s="17"/>
      <c r="P36" s="21"/>
      <c r="Q36" s="21"/>
      <c r="R36" s="17"/>
      <c r="S36" s="17"/>
      <c r="T36" s="24"/>
      <c r="U36" s="24"/>
    </row>
    <row r="37" spans="13:21">
      <c r="M37" s="17"/>
      <c r="N37" s="17"/>
      <c r="O37" s="17"/>
      <c r="P37" s="21"/>
      <c r="Q37" s="21"/>
      <c r="R37" s="17"/>
      <c r="S37" s="17"/>
      <c r="T37" s="17"/>
      <c r="U37" s="17"/>
    </row>
    <row r="38" spans="13:21">
      <c r="M38" s="17"/>
      <c r="N38" s="17"/>
      <c r="O38" s="17"/>
      <c r="P38" s="21"/>
      <c r="Q38" s="21"/>
      <c r="R38" s="17"/>
      <c r="S38" s="17"/>
      <c r="T38" s="17"/>
      <c r="U38" s="17"/>
    </row>
    <row r="39" spans="13:21">
      <c r="M39" s="17"/>
      <c r="N39" s="17"/>
      <c r="O39" s="17"/>
      <c r="P39" s="21"/>
      <c r="Q39" s="21"/>
      <c r="R39" s="17"/>
      <c r="S39" s="17"/>
      <c r="T39" s="17"/>
      <c r="U39" s="17"/>
    </row>
    <row r="40" spans="13:21">
      <c r="M40" s="17"/>
      <c r="N40" s="17"/>
      <c r="O40" s="17"/>
      <c r="P40" s="21"/>
      <c r="Q40" s="21"/>
      <c r="R40" s="17"/>
      <c r="S40" s="17"/>
      <c r="T40" s="17"/>
      <c r="U40" s="17"/>
    </row>
    <row r="41" spans="13:21">
      <c r="M41" s="17"/>
      <c r="N41" s="17"/>
      <c r="O41" s="17"/>
      <c r="P41" s="21"/>
      <c r="Q41" s="21"/>
      <c r="R41" s="17"/>
      <c r="S41" s="17"/>
      <c r="T41" s="17"/>
      <c r="U41" s="17"/>
    </row>
    <row r="42" spans="13:21">
      <c r="M42" s="17"/>
      <c r="N42" s="17"/>
      <c r="O42" s="17"/>
      <c r="P42" s="21"/>
      <c r="Q42" s="21"/>
      <c r="R42" s="17"/>
      <c r="S42" s="17"/>
      <c r="T42" s="17"/>
      <c r="U42" s="17"/>
    </row>
    <row r="43" spans="13:21">
      <c r="M43" s="17"/>
      <c r="N43" s="17"/>
      <c r="O43" s="17"/>
      <c r="P43" s="21"/>
      <c r="Q43" s="21"/>
      <c r="R43" s="17"/>
      <c r="S43" s="17"/>
      <c r="T43" s="17"/>
      <c r="U43" s="17"/>
    </row>
    <row r="44" spans="13:21">
      <c r="M44" s="17"/>
      <c r="N44" s="17"/>
      <c r="O44" s="17"/>
      <c r="P44" s="21"/>
      <c r="Q44" s="21"/>
      <c r="R44" s="17"/>
      <c r="S44" s="17"/>
      <c r="T44" s="17"/>
      <c r="U44" s="17"/>
    </row>
    <row r="45" spans="13:21">
      <c r="M45" s="17"/>
      <c r="N45" s="17"/>
      <c r="O45" s="17"/>
      <c r="P45" s="21"/>
      <c r="Q45" s="21"/>
      <c r="R45" s="17"/>
      <c r="S45" s="17"/>
      <c r="T45" s="17"/>
      <c r="U45" s="17"/>
    </row>
    <row r="46" spans="13:21">
      <c r="M46" s="17"/>
      <c r="N46" s="17"/>
      <c r="O46" s="17"/>
      <c r="P46" s="21"/>
      <c r="Q46" s="21"/>
      <c r="R46" s="17"/>
      <c r="S46" s="17"/>
      <c r="T46" s="17"/>
      <c r="U46" s="17"/>
    </row>
    <row r="47" spans="13:21">
      <c r="M47" s="17"/>
      <c r="N47" s="17"/>
      <c r="O47" s="17"/>
      <c r="P47" s="21"/>
      <c r="Q47" s="21"/>
      <c r="R47" s="17"/>
      <c r="S47" s="17"/>
      <c r="T47" s="17"/>
      <c r="U47" s="17"/>
    </row>
    <row r="48" spans="13:21">
      <c r="M48" s="17"/>
      <c r="N48" s="17"/>
      <c r="O48" s="17"/>
      <c r="P48" s="21"/>
      <c r="Q48" s="21"/>
      <c r="R48" s="17"/>
      <c r="S48" s="17"/>
      <c r="T48" s="17"/>
      <c r="U48" s="17"/>
    </row>
    <row r="49" spans="13:21">
      <c r="M49" s="17"/>
      <c r="N49" s="17"/>
      <c r="O49" s="17"/>
      <c r="P49" s="21"/>
      <c r="Q49" s="21"/>
      <c r="R49" s="17"/>
      <c r="S49" s="17"/>
      <c r="T49" s="17"/>
      <c r="U49" s="17"/>
    </row>
    <row r="50" spans="13:21">
      <c r="M50" s="17"/>
      <c r="N50" s="17"/>
      <c r="O50" s="17"/>
      <c r="P50" s="21"/>
      <c r="Q50" s="21"/>
      <c r="R50" s="17"/>
      <c r="S50" s="17"/>
      <c r="T50" s="17"/>
      <c r="U50" s="17"/>
    </row>
    <row r="51" spans="13:21">
      <c r="M51" s="17"/>
      <c r="N51" s="17"/>
      <c r="O51" s="17"/>
      <c r="P51" s="21"/>
      <c r="Q51" s="21"/>
      <c r="R51" s="17"/>
      <c r="S51" s="17"/>
      <c r="T51" s="17"/>
      <c r="U51" s="17"/>
    </row>
    <row r="52" spans="13:21">
      <c r="M52" s="17"/>
      <c r="N52" s="17"/>
      <c r="O52" s="17"/>
      <c r="P52" s="21"/>
      <c r="Q52" s="21"/>
      <c r="R52" s="17"/>
      <c r="S52" s="17"/>
      <c r="T52" s="17"/>
      <c r="U52" s="17"/>
    </row>
    <row r="53" spans="13:21">
      <c r="M53" s="17"/>
      <c r="N53" s="17"/>
      <c r="O53" s="17"/>
      <c r="P53" s="21"/>
      <c r="Q53" s="21"/>
      <c r="R53" s="17"/>
      <c r="S53" s="17"/>
      <c r="T53" s="17"/>
      <c r="U53" s="17"/>
    </row>
    <row r="54" spans="13:21">
      <c r="M54" s="17"/>
      <c r="N54" s="17"/>
      <c r="O54" s="17"/>
      <c r="P54" s="21"/>
      <c r="Q54" s="21"/>
      <c r="R54" s="17"/>
      <c r="S54" s="17"/>
      <c r="T54" s="17"/>
      <c r="U54" s="17"/>
    </row>
    <row r="55" spans="13:21">
      <c r="M55" s="17"/>
      <c r="N55" s="17"/>
      <c r="O55" s="17"/>
      <c r="P55" s="21"/>
      <c r="Q55" s="21"/>
      <c r="R55" s="17"/>
      <c r="S55" s="17"/>
      <c r="T55" s="17"/>
      <c r="U55" s="17"/>
    </row>
    <row r="56" spans="13:21">
      <c r="M56" s="17"/>
      <c r="N56" s="17"/>
      <c r="O56" s="17"/>
      <c r="P56" s="21"/>
      <c r="Q56" s="21"/>
      <c r="R56" s="17"/>
      <c r="S56" s="17"/>
      <c r="T56" s="17"/>
      <c r="U56" s="17"/>
    </row>
    <row r="57" spans="13:21">
      <c r="M57" s="17"/>
      <c r="N57" s="17"/>
      <c r="O57" s="17"/>
      <c r="P57" s="21"/>
      <c r="Q57" s="21"/>
      <c r="R57" s="17"/>
      <c r="S57" s="17"/>
      <c r="T57" s="17"/>
      <c r="U57" s="17"/>
    </row>
    <row r="58" spans="13:21">
      <c r="M58" s="17"/>
      <c r="N58" s="17"/>
      <c r="O58" s="17"/>
      <c r="P58" s="21"/>
      <c r="Q58" s="21"/>
      <c r="R58" s="17"/>
      <c r="S58" s="17"/>
      <c r="T58" s="17"/>
      <c r="U58" s="17"/>
    </row>
    <row r="59" spans="13:21">
      <c r="M59" s="17"/>
      <c r="N59" s="17"/>
      <c r="O59" s="17"/>
      <c r="P59" s="21"/>
      <c r="Q59" s="21"/>
      <c r="R59" s="17"/>
      <c r="S59" s="17"/>
      <c r="T59" s="17"/>
      <c r="U59" s="17"/>
    </row>
    <row r="60" spans="13:21">
      <c r="M60" s="17"/>
      <c r="N60" s="17"/>
      <c r="O60" s="17"/>
      <c r="P60" s="21"/>
      <c r="Q60" s="21"/>
      <c r="R60" s="17"/>
      <c r="S60" s="17"/>
      <c r="T60" s="17"/>
      <c r="U60" s="17"/>
    </row>
    <row r="61" spans="13:21">
      <c r="M61" s="17"/>
      <c r="N61" s="17"/>
      <c r="O61" s="17"/>
      <c r="P61" s="21"/>
      <c r="Q61" s="21"/>
      <c r="R61" s="17"/>
      <c r="S61" s="17"/>
      <c r="T61" s="17"/>
      <c r="U61" s="17"/>
    </row>
    <row r="62" spans="13:21">
      <c r="M62" s="17"/>
      <c r="N62" s="17"/>
      <c r="O62" s="17"/>
      <c r="P62" s="21"/>
      <c r="Q62" s="21" t="s">
        <v>581</v>
      </c>
      <c r="R62" s="17"/>
      <c r="S62" s="17"/>
      <c r="T62" s="17"/>
      <c r="U62" s="17"/>
    </row>
    <row r="63" spans="13:21">
      <c r="M63" s="17"/>
      <c r="N63" s="17"/>
      <c r="O63" s="17"/>
      <c r="P63" s="21"/>
      <c r="Q63" s="21"/>
      <c r="R63" s="17"/>
      <c r="S63" s="17"/>
      <c r="T63" s="17"/>
      <c r="U63" s="17"/>
    </row>
    <row r="64" spans="13:21">
      <c r="M64" s="17"/>
      <c r="N64" s="17"/>
      <c r="O64" s="17"/>
      <c r="P64" s="21"/>
      <c r="Q64" s="21"/>
      <c r="R64" s="17"/>
      <c r="S64" s="17"/>
      <c r="T64" s="17"/>
      <c r="U64" s="17"/>
    </row>
    <row r="65" spans="13:21">
      <c r="M65" s="17"/>
      <c r="N65" s="17"/>
      <c r="O65" s="17"/>
      <c r="P65" s="21"/>
      <c r="Q65" s="21"/>
      <c r="R65" s="17"/>
      <c r="S65" s="17"/>
      <c r="T65" s="17"/>
      <c r="U65" s="17"/>
    </row>
    <row r="66" spans="13:21">
      <c r="M66" s="17"/>
      <c r="N66" s="17"/>
      <c r="O66" s="17"/>
      <c r="P66" s="21"/>
      <c r="Q66" s="21"/>
      <c r="R66" s="17"/>
      <c r="S66" s="17"/>
      <c r="T66" s="17"/>
      <c r="U66" s="17"/>
    </row>
    <row r="67" spans="13:21">
      <c r="M67" s="17"/>
      <c r="N67" s="17"/>
      <c r="O67" s="17"/>
      <c r="P67" s="21"/>
      <c r="Q67" s="21"/>
      <c r="R67" s="17"/>
      <c r="S67" s="17"/>
      <c r="T67" s="17"/>
      <c r="U67" s="17"/>
    </row>
    <row r="68" spans="13:21">
      <c r="M68" s="17"/>
      <c r="N68" s="17"/>
      <c r="O68" s="17"/>
      <c r="P68" s="21"/>
      <c r="Q68" s="21"/>
      <c r="R68" s="17"/>
      <c r="S68" s="17"/>
      <c r="T68" s="17"/>
      <c r="U68" s="17"/>
    </row>
    <row r="69" spans="13:21">
      <c r="M69" s="17"/>
      <c r="N69" s="17"/>
      <c r="O69" s="17"/>
      <c r="P69" s="21"/>
      <c r="Q69" s="21"/>
      <c r="R69" s="17"/>
      <c r="S69" s="17"/>
      <c r="T69" s="17"/>
      <c r="U69" s="17"/>
    </row>
    <row r="70" spans="13:21">
      <c r="M70" s="17"/>
      <c r="N70" s="17"/>
      <c r="O70" s="17"/>
      <c r="P70" s="21"/>
      <c r="Q70" s="21"/>
      <c r="R70" s="17"/>
      <c r="S70" s="17"/>
      <c r="T70" s="17"/>
      <c r="U70" s="17"/>
    </row>
    <row r="71" spans="13:21">
      <c r="M71" s="17"/>
      <c r="N71" s="17"/>
      <c r="O71" s="17"/>
      <c r="P71" s="21"/>
      <c r="Q71" s="21"/>
      <c r="R71" s="17"/>
      <c r="S71" s="17"/>
      <c r="T71" s="17"/>
      <c r="U71" s="17"/>
    </row>
    <row r="72" spans="13:21">
      <c r="M72" s="17"/>
      <c r="N72" s="17"/>
      <c r="O72" s="17"/>
      <c r="P72" s="21"/>
      <c r="R72" s="17"/>
      <c r="S72" s="17"/>
      <c r="T72" s="17"/>
      <c r="U72" s="17"/>
    </row>
    <row r="73" spans="13:21">
      <c r="M73" s="17"/>
      <c r="N73" s="17"/>
      <c r="O73" s="17"/>
      <c r="P73" s="21"/>
      <c r="R73" s="17"/>
      <c r="S73" s="17"/>
      <c r="T73" s="17"/>
      <c r="U73" s="17"/>
    </row>
  </sheetData>
  <dataValidations count="7">
    <dataValidation type="list" allowBlank="1" showInputMessage="1" showErrorMessage="1" sqref="B3 D3" xr:uid="{EB1B297D-A59F-4814-B544-3FDD8AA472E6}">
      <formula1>Plumbing_Material_Code</formula1>
    </dataValidation>
    <dataValidation type="list" allowBlank="1" showInputMessage="1" showErrorMessage="1" sqref="A1" xr:uid="{06AF19F9-7AFD-4633-B516-1E7065ECE856}">
      <formula1>Mechanical_System</formula1>
    </dataValidation>
    <dataValidation type="list" allowBlank="1" showInputMessage="1" showErrorMessage="1" sqref="A3" xr:uid="{C8ABC0DF-50F0-4B65-B9DD-754C7BD7C796}">
      <formula1>HVAC_System</formula1>
    </dataValidation>
    <dataValidation type="list" allowBlank="1" showInputMessage="1" showErrorMessage="1" sqref="E3" xr:uid="{A6482925-0159-4466-B1D9-28A85B6CE6E5}">
      <formula1>HVAC_Material_Description</formula1>
    </dataValidation>
    <dataValidation type="list" allowBlank="1" showInputMessage="1" showErrorMessage="1" sqref="J3" xr:uid="{EF9CD39B-1A74-46FA-AAEB-4A14921F41D0}">
      <formula1>HVAC_Thickness</formula1>
    </dataValidation>
    <dataValidation type="list" allowBlank="1" showInputMessage="1" showErrorMessage="1" sqref="H3:I3" xr:uid="{CC5C6D09-A6F8-45A0-9309-8F2D6EA0AC99}">
      <formula1>HVAC_Pipe_Size</formula1>
    </dataValidation>
    <dataValidation type="list" allowBlank="1" showInputMessage="1" showErrorMessage="1" sqref="C3" xr:uid="{8FC5560C-4EEB-4E03-B764-A3EA6E4A9B48}">
      <formula1>HVAC_Area_Name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324C-8D15-401C-9608-59C998F680B9}">
  <sheetPr>
    <tabColor rgb="FF00B0F0"/>
  </sheetPr>
  <dimension ref="A1:U73"/>
  <sheetViews>
    <sheetView zoomScale="130" zoomScaleNormal="130" workbookViewId="0">
      <pane xSplit="1" ySplit="2" topLeftCell="B3" activePane="bottomRight" state="frozenSplit"/>
      <selection pane="bottomRight" activeCell="G18" sqref="G18"/>
      <selection pane="bottomLeft" activeCell="G18" sqref="G18"/>
      <selection pane="topRight" activeCell="G18" sqref="G18"/>
    </sheetView>
  </sheetViews>
  <sheetFormatPr defaultColWidth="8.85546875" defaultRowHeight="15.75"/>
  <cols>
    <col min="1" max="1" width="21.85546875" style="8" customWidth="1"/>
    <col min="2" max="2" width="10.7109375" style="8" bestFit="1" customWidth="1"/>
    <col min="3" max="3" width="21.28515625" style="8" customWidth="1"/>
    <col min="4" max="4" width="13.7109375" style="8" customWidth="1"/>
    <col min="5" max="5" width="21.7109375" style="8" customWidth="1"/>
    <col min="6" max="6" width="28.28515625" style="8" bestFit="1" customWidth="1"/>
    <col min="7" max="7" width="5.7109375" style="8" bestFit="1" customWidth="1"/>
    <col min="8" max="8" width="8.85546875" style="9"/>
    <col min="9" max="10" width="13.28515625" style="8" customWidth="1"/>
    <col min="11" max="11" width="28" style="8" customWidth="1"/>
    <col min="12" max="12" width="6.28515625" style="8" bestFit="1" customWidth="1"/>
    <col min="13" max="14" width="36" style="8" customWidth="1"/>
    <col min="15" max="15" width="16.7109375" style="8" customWidth="1"/>
    <col min="16" max="17" width="36" style="8" customWidth="1"/>
    <col min="18" max="18" width="23.42578125" style="8" customWidth="1"/>
    <col min="19" max="19" width="26.28515625" style="8" customWidth="1"/>
    <col min="20" max="20" width="20.140625" style="8" bestFit="1" customWidth="1"/>
    <col min="21" max="21" width="19.85546875" style="8" bestFit="1" customWidth="1"/>
    <col min="22" max="16384" width="8.85546875" style="8"/>
  </cols>
  <sheetData>
    <row r="1" spans="1:21" ht="31.5">
      <c r="A1" s="7" t="s">
        <v>260</v>
      </c>
      <c r="M1" s="10" t="s">
        <v>582</v>
      </c>
      <c r="N1" s="10" t="s">
        <v>583</v>
      </c>
      <c r="O1" s="10" t="s">
        <v>584</v>
      </c>
      <c r="P1" s="11" t="s">
        <v>585</v>
      </c>
      <c r="Q1" s="11" t="s">
        <v>586</v>
      </c>
      <c r="R1" s="12" t="s">
        <v>587</v>
      </c>
      <c r="S1" s="12" t="s">
        <v>588</v>
      </c>
      <c r="T1" s="11" t="s">
        <v>589</v>
      </c>
      <c r="U1" s="11" t="s">
        <v>590</v>
      </c>
    </row>
    <row r="2" spans="1:21" ht="18.75">
      <c r="A2" s="13" t="s">
        <v>238</v>
      </c>
      <c r="B2" s="13" t="s">
        <v>390</v>
      </c>
      <c r="C2" s="13" t="s">
        <v>391</v>
      </c>
      <c r="D2" s="13" t="s">
        <v>392</v>
      </c>
      <c r="E2" s="13" t="s">
        <v>393</v>
      </c>
      <c r="F2" s="13" t="s">
        <v>394</v>
      </c>
      <c r="G2" s="13" t="s">
        <v>395</v>
      </c>
      <c r="H2" s="14" t="s">
        <v>396</v>
      </c>
      <c r="I2" s="13" t="s">
        <v>397</v>
      </c>
      <c r="J2" s="13" t="s">
        <v>398</v>
      </c>
      <c r="K2" s="13" t="s">
        <v>399</v>
      </c>
      <c r="M2" s="15" t="s">
        <v>400</v>
      </c>
      <c r="N2" s="15" t="s">
        <v>400</v>
      </c>
      <c r="O2" s="15" t="s">
        <v>400</v>
      </c>
      <c r="P2" s="15" t="s">
        <v>400</v>
      </c>
      <c r="Q2" s="15" t="s">
        <v>400</v>
      </c>
      <c r="R2" s="15" t="s">
        <v>400</v>
      </c>
      <c r="S2" s="15" t="s">
        <v>400</v>
      </c>
      <c r="T2" s="15" t="s">
        <v>400</v>
      </c>
      <c r="U2" s="15" t="s">
        <v>400</v>
      </c>
    </row>
    <row r="3" spans="1:21">
      <c r="A3" s="16" t="s">
        <v>591</v>
      </c>
      <c r="B3" s="17" t="str">
        <f>_xlfn.XLOOKUP(A3,Plumbing_System,Plumbing_Systems___Abbreviations)</f>
        <v>DCW</v>
      </c>
      <c r="C3" s="16" t="s">
        <v>402</v>
      </c>
      <c r="D3" s="17" t="str">
        <f>_xlfn.XLOOKUP(C3,Plumbing_Area_Name,Plumbing_Area_Code)</f>
        <v>XX</v>
      </c>
      <c r="E3" s="16" t="s">
        <v>403</v>
      </c>
      <c r="F3" s="17" t="e">
        <f>_xlfn.XLOOKUP(E3,Plumbing_Material_Description,Plumbing_Material_Code)</f>
        <v>#VALUE!</v>
      </c>
      <c r="G3" s="17" t="str">
        <f>_xlfn.XLOOKUP(A3,Plumbing_System,Plumbing_Unit)</f>
        <v>LF</v>
      </c>
      <c r="H3" s="18">
        <v>0.25</v>
      </c>
      <c r="I3" s="16">
        <v>2</v>
      </c>
      <c r="J3" s="16">
        <v>1</v>
      </c>
      <c r="K3" s="17"/>
      <c r="M3" s="19" t="s">
        <v>401</v>
      </c>
      <c r="N3" s="20" t="s">
        <v>404</v>
      </c>
      <c r="O3" s="21" t="s">
        <v>273</v>
      </c>
      <c r="P3" s="22" t="s">
        <v>405</v>
      </c>
      <c r="Q3" s="22" t="s">
        <v>406</v>
      </c>
      <c r="R3" s="23" t="s">
        <v>407</v>
      </c>
      <c r="S3" s="23" t="s">
        <v>402</v>
      </c>
      <c r="T3" s="24">
        <v>0.25</v>
      </c>
      <c r="U3" s="24">
        <v>0.25</v>
      </c>
    </row>
    <row r="4" spans="1:21">
      <c r="A4" s="16"/>
      <c r="B4" s="17"/>
      <c r="C4" s="16"/>
      <c r="D4" s="17"/>
      <c r="E4" s="16"/>
      <c r="F4" s="17"/>
      <c r="G4" s="17"/>
      <c r="H4" s="18"/>
      <c r="I4" s="16"/>
      <c r="J4" s="16"/>
      <c r="K4" s="17"/>
      <c r="M4" s="19" t="s">
        <v>591</v>
      </c>
      <c r="N4" s="20" t="s">
        <v>592</v>
      </c>
      <c r="O4" s="21" t="s">
        <v>273</v>
      </c>
      <c r="P4" s="22" t="s">
        <v>410</v>
      </c>
      <c r="Q4" s="22" t="s">
        <v>411</v>
      </c>
      <c r="R4" s="21" t="s">
        <v>412</v>
      </c>
      <c r="S4" s="21" t="s">
        <v>413</v>
      </c>
      <c r="T4" s="24">
        <v>0.5</v>
      </c>
      <c r="U4" s="24">
        <f>+U3+0.125</f>
        <v>0.375</v>
      </c>
    </row>
    <row r="5" spans="1:21">
      <c r="A5" s="16"/>
      <c r="B5" s="17"/>
      <c r="C5" s="16"/>
      <c r="D5" s="17"/>
      <c r="E5" s="16"/>
      <c r="F5" s="17"/>
      <c r="G5" s="17"/>
      <c r="H5" s="18"/>
      <c r="I5" s="16"/>
      <c r="J5" s="16"/>
      <c r="K5" s="17"/>
      <c r="M5" s="19" t="s">
        <v>593</v>
      </c>
      <c r="N5" s="20" t="s">
        <v>594</v>
      </c>
      <c r="O5" s="21" t="s">
        <v>273</v>
      </c>
      <c r="P5" s="22" t="s">
        <v>416</v>
      </c>
      <c r="Q5" s="22" t="s">
        <v>417</v>
      </c>
      <c r="R5" s="21" t="s">
        <v>418</v>
      </c>
      <c r="S5" s="21" t="s">
        <v>419</v>
      </c>
      <c r="T5" s="24">
        <v>0.75</v>
      </c>
      <c r="U5" s="24">
        <f t="shared" ref="U5:U13" si="0">+U4+0.125</f>
        <v>0.5</v>
      </c>
    </row>
    <row r="6" spans="1:21">
      <c r="A6" s="16"/>
      <c r="B6" s="17"/>
      <c r="C6" s="16"/>
      <c r="D6" s="17"/>
      <c r="E6" s="16"/>
      <c r="F6" s="17"/>
      <c r="G6" s="17"/>
      <c r="H6" s="18"/>
      <c r="I6" s="16"/>
      <c r="J6" s="16"/>
      <c r="K6" s="17"/>
      <c r="M6" s="19" t="s">
        <v>595</v>
      </c>
      <c r="N6" s="20" t="s">
        <v>427</v>
      </c>
      <c r="O6" s="21" t="s">
        <v>273</v>
      </c>
      <c r="P6" s="22" t="s">
        <v>422</v>
      </c>
      <c r="Q6" s="22" t="s">
        <v>423</v>
      </c>
      <c r="R6" s="21" t="s">
        <v>424</v>
      </c>
      <c r="S6" s="21" t="s">
        <v>425</v>
      </c>
      <c r="T6" s="24">
        <v>1</v>
      </c>
      <c r="U6" s="24">
        <f t="shared" si="0"/>
        <v>0.625</v>
      </c>
    </row>
    <row r="7" spans="1:21">
      <c r="A7" s="16"/>
      <c r="B7" s="17"/>
      <c r="C7" s="16"/>
      <c r="D7" s="17"/>
      <c r="E7" s="16"/>
      <c r="F7" s="17"/>
      <c r="G7" s="17"/>
      <c r="H7" s="18"/>
      <c r="I7" s="16"/>
      <c r="J7" s="16"/>
      <c r="K7" s="17"/>
      <c r="M7" s="19" t="s">
        <v>596</v>
      </c>
      <c r="N7" s="20" t="s">
        <v>597</v>
      </c>
      <c r="O7" s="21" t="s">
        <v>273</v>
      </c>
      <c r="P7" s="22" t="s">
        <v>428</v>
      </c>
      <c r="Q7" s="22" t="s">
        <v>429</v>
      </c>
      <c r="R7" s="21" t="s">
        <v>430</v>
      </c>
      <c r="S7" s="21" t="s">
        <v>431</v>
      </c>
      <c r="T7" s="24">
        <v>1.25</v>
      </c>
      <c r="U7" s="24">
        <f t="shared" si="0"/>
        <v>0.75</v>
      </c>
    </row>
    <row r="8" spans="1:21">
      <c r="A8" s="16"/>
      <c r="B8" s="17"/>
      <c r="C8" s="16"/>
      <c r="D8" s="17"/>
      <c r="E8" s="16"/>
      <c r="F8" s="17"/>
      <c r="G8" s="17"/>
      <c r="H8" s="18"/>
      <c r="I8" s="16"/>
      <c r="J8" s="16"/>
      <c r="K8" s="17"/>
      <c r="M8" s="19" t="s">
        <v>598</v>
      </c>
      <c r="N8" s="20" t="s">
        <v>461</v>
      </c>
      <c r="O8" s="21" t="s">
        <v>273</v>
      </c>
      <c r="P8" s="21" t="s">
        <v>434</v>
      </c>
      <c r="Q8" s="21" t="s">
        <v>435</v>
      </c>
      <c r="R8" s="25" t="s">
        <v>436</v>
      </c>
      <c r="S8" s="25" t="s">
        <v>437</v>
      </c>
      <c r="T8" s="24">
        <v>1.5</v>
      </c>
      <c r="U8" s="24">
        <f t="shared" si="0"/>
        <v>0.875</v>
      </c>
    </row>
    <row r="9" spans="1:21">
      <c r="A9" s="16"/>
      <c r="B9" s="17"/>
      <c r="C9" s="16"/>
      <c r="D9" s="17"/>
      <c r="E9" s="16"/>
      <c r="F9" s="17"/>
      <c r="G9" s="17"/>
      <c r="H9" s="18"/>
      <c r="I9" s="16"/>
      <c r="J9" s="16"/>
      <c r="K9" s="17"/>
      <c r="M9" s="19" t="s">
        <v>599</v>
      </c>
      <c r="N9" s="20" t="s">
        <v>600</v>
      </c>
      <c r="O9" s="21" t="s">
        <v>273</v>
      </c>
      <c r="P9" s="26" t="s">
        <v>440</v>
      </c>
      <c r="Q9" s="26" t="s">
        <v>403</v>
      </c>
      <c r="R9" s="25" t="s">
        <v>441</v>
      </c>
      <c r="S9" s="25" t="s">
        <v>214</v>
      </c>
      <c r="T9" s="24">
        <v>1.75</v>
      </c>
      <c r="U9" s="24">
        <f t="shared" si="0"/>
        <v>1</v>
      </c>
    </row>
    <row r="10" spans="1:21">
      <c r="A10" s="16"/>
      <c r="B10" s="17"/>
      <c r="C10" s="16"/>
      <c r="D10" s="17"/>
      <c r="E10" s="16"/>
      <c r="F10" s="17"/>
      <c r="G10" s="17"/>
      <c r="H10" s="18"/>
      <c r="I10" s="16"/>
      <c r="J10" s="16"/>
      <c r="K10" s="17"/>
      <c r="M10" s="19" t="s">
        <v>601</v>
      </c>
      <c r="N10" s="20" t="s">
        <v>602</v>
      </c>
      <c r="O10" s="21" t="s">
        <v>273</v>
      </c>
      <c r="P10" s="26" t="s">
        <v>444</v>
      </c>
      <c r="Q10" s="26" t="s">
        <v>445</v>
      </c>
      <c r="R10" s="21" t="s">
        <v>446</v>
      </c>
      <c r="S10" s="21" t="s">
        <v>447</v>
      </c>
      <c r="T10" s="24">
        <v>2</v>
      </c>
      <c r="U10" s="24">
        <f t="shared" si="0"/>
        <v>1.125</v>
      </c>
    </row>
    <row r="11" spans="1:21">
      <c r="A11" s="16"/>
      <c r="B11" s="17"/>
      <c r="C11" s="16"/>
      <c r="D11" s="17"/>
      <c r="E11" s="16"/>
      <c r="F11" s="17"/>
      <c r="G11" s="17"/>
      <c r="H11" s="18"/>
      <c r="I11" s="16"/>
      <c r="J11" s="16"/>
      <c r="K11" s="17"/>
      <c r="M11" s="19" t="s">
        <v>532</v>
      </c>
      <c r="N11" s="20" t="s">
        <v>533</v>
      </c>
      <c r="O11" s="21" t="s">
        <v>273</v>
      </c>
      <c r="P11" s="26" t="s">
        <v>450</v>
      </c>
      <c r="Q11" s="26" t="s">
        <v>451</v>
      </c>
      <c r="R11" s="21" t="s">
        <v>452</v>
      </c>
      <c r="S11" s="21" t="s">
        <v>453</v>
      </c>
      <c r="T11" s="24">
        <v>2.5</v>
      </c>
      <c r="U11" s="24">
        <f t="shared" si="0"/>
        <v>1.25</v>
      </c>
    </row>
    <row r="12" spans="1:21">
      <c r="A12" s="16"/>
      <c r="B12" s="17"/>
      <c r="C12" s="16"/>
      <c r="D12" s="17"/>
      <c r="E12" s="16"/>
      <c r="F12" s="17"/>
      <c r="G12" s="17"/>
      <c r="H12" s="18"/>
      <c r="I12" s="16"/>
      <c r="J12" s="16"/>
      <c r="K12" s="17"/>
      <c r="M12" s="19" t="s">
        <v>603</v>
      </c>
      <c r="N12" s="20" t="s">
        <v>604</v>
      </c>
      <c r="O12" s="21" t="s">
        <v>273</v>
      </c>
      <c r="P12" s="26" t="s">
        <v>456</v>
      </c>
      <c r="Q12" s="26" t="s">
        <v>457</v>
      </c>
      <c r="R12" s="21" t="s">
        <v>458</v>
      </c>
      <c r="S12" s="21" t="s">
        <v>459</v>
      </c>
      <c r="T12" s="24">
        <v>2.75</v>
      </c>
      <c r="U12" s="24">
        <f t="shared" si="0"/>
        <v>1.375</v>
      </c>
    </row>
    <row r="13" spans="1:21">
      <c r="A13" s="16"/>
      <c r="B13" s="17"/>
      <c r="C13" s="16"/>
      <c r="D13" s="17"/>
      <c r="E13" s="16"/>
      <c r="F13" s="17"/>
      <c r="G13" s="17"/>
      <c r="H13" s="18"/>
      <c r="I13" s="16"/>
      <c r="J13" s="16"/>
      <c r="K13" s="17"/>
      <c r="M13" s="19" t="s">
        <v>605</v>
      </c>
      <c r="N13" s="20" t="s">
        <v>606</v>
      </c>
      <c r="O13" s="21" t="s">
        <v>273</v>
      </c>
      <c r="P13" s="26" t="s">
        <v>462</v>
      </c>
      <c r="Q13" s="26" t="s">
        <v>463</v>
      </c>
      <c r="R13" s="21" t="s">
        <v>464</v>
      </c>
      <c r="S13" s="21" t="s">
        <v>465</v>
      </c>
      <c r="T13" s="24">
        <v>3</v>
      </c>
      <c r="U13" s="24">
        <f t="shared" si="0"/>
        <v>1.5</v>
      </c>
    </row>
    <row r="14" spans="1:21">
      <c r="A14" s="16"/>
      <c r="B14" s="17"/>
      <c r="C14" s="16"/>
      <c r="D14" s="17"/>
      <c r="E14" s="16"/>
      <c r="F14" s="17"/>
      <c r="G14" s="17"/>
      <c r="H14" s="18"/>
      <c r="I14" s="16"/>
      <c r="J14" s="16"/>
      <c r="K14" s="17"/>
      <c r="M14" s="19" t="s">
        <v>607</v>
      </c>
      <c r="N14" s="20" t="s">
        <v>608</v>
      </c>
      <c r="O14" s="21" t="s">
        <v>273</v>
      </c>
      <c r="P14" s="26" t="s">
        <v>468</v>
      </c>
      <c r="Q14" s="26" t="s">
        <v>469</v>
      </c>
      <c r="R14" s="25" t="s">
        <v>470</v>
      </c>
      <c r="S14" s="25" t="s">
        <v>471</v>
      </c>
      <c r="T14" s="24">
        <v>3.5</v>
      </c>
      <c r="U14" s="24">
        <f>+U13+0.25</f>
        <v>1.75</v>
      </c>
    </row>
    <row r="15" spans="1:21">
      <c r="A15" s="16"/>
      <c r="B15" s="17"/>
      <c r="C15" s="16"/>
      <c r="D15" s="17"/>
      <c r="E15" s="16"/>
      <c r="F15" s="17"/>
      <c r="G15" s="17"/>
      <c r="H15" s="18"/>
      <c r="I15" s="16"/>
      <c r="J15" s="16"/>
      <c r="K15" s="17"/>
      <c r="M15" s="19" t="s">
        <v>609</v>
      </c>
      <c r="N15" s="20" t="s">
        <v>610</v>
      </c>
      <c r="O15" s="21" t="s">
        <v>273</v>
      </c>
      <c r="P15" s="26" t="s">
        <v>474</v>
      </c>
      <c r="Q15" s="26" t="s">
        <v>475</v>
      </c>
      <c r="R15" s="25" t="s">
        <v>476</v>
      </c>
      <c r="S15" s="25" t="s">
        <v>477</v>
      </c>
      <c r="T15" s="24">
        <v>4</v>
      </c>
      <c r="U15" s="24">
        <f t="shared" ref="U15" si="1">+U14+0.25</f>
        <v>2</v>
      </c>
    </row>
    <row r="16" spans="1:21">
      <c r="A16" s="16"/>
      <c r="B16" s="17"/>
      <c r="C16" s="16"/>
      <c r="D16" s="17"/>
      <c r="E16" s="16"/>
      <c r="F16" s="17"/>
      <c r="G16" s="17"/>
      <c r="H16" s="18"/>
      <c r="I16" s="16"/>
      <c r="J16" s="16"/>
      <c r="K16" s="17"/>
      <c r="M16" s="19" t="s">
        <v>611</v>
      </c>
      <c r="N16" s="20" t="s">
        <v>612</v>
      </c>
      <c r="O16" s="21" t="s">
        <v>273</v>
      </c>
      <c r="P16" s="26" t="s">
        <v>480</v>
      </c>
      <c r="Q16" s="26" t="s">
        <v>481</v>
      </c>
      <c r="R16" s="25" t="s">
        <v>482</v>
      </c>
      <c r="S16" s="25" t="s">
        <v>483</v>
      </c>
      <c r="T16" s="24">
        <v>5</v>
      </c>
      <c r="U16" s="24">
        <f>+U15+0.5</f>
        <v>2.5</v>
      </c>
    </row>
    <row r="17" spans="13:21">
      <c r="M17" s="19" t="s">
        <v>544</v>
      </c>
      <c r="N17" s="20" t="s">
        <v>613</v>
      </c>
      <c r="O17" s="21" t="s">
        <v>273</v>
      </c>
      <c r="P17" s="26" t="s">
        <v>486</v>
      </c>
      <c r="Q17" s="26" t="s">
        <v>487</v>
      </c>
      <c r="R17" s="25" t="s">
        <v>488</v>
      </c>
      <c r="S17" s="25" t="s">
        <v>489</v>
      </c>
      <c r="T17" s="24">
        <v>6</v>
      </c>
      <c r="U17" s="24">
        <f t="shared" ref="U17:U19" si="2">+U16+0.5</f>
        <v>3</v>
      </c>
    </row>
    <row r="18" spans="13:21">
      <c r="M18" s="19" t="s">
        <v>614</v>
      </c>
      <c r="N18" s="20" t="s">
        <v>615</v>
      </c>
      <c r="O18" s="21" t="s">
        <v>273</v>
      </c>
      <c r="P18" s="26" t="s">
        <v>492</v>
      </c>
      <c r="Q18" s="26" t="s">
        <v>493</v>
      </c>
      <c r="R18" s="21" t="s">
        <v>494</v>
      </c>
      <c r="S18" s="21" t="s">
        <v>495</v>
      </c>
      <c r="T18" s="24">
        <v>7</v>
      </c>
      <c r="U18" s="24">
        <f t="shared" si="2"/>
        <v>3.5</v>
      </c>
    </row>
    <row r="19" spans="13:21">
      <c r="M19" s="19" t="s">
        <v>616</v>
      </c>
      <c r="N19" s="20" t="s">
        <v>617</v>
      </c>
      <c r="O19" s="21" t="s">
        <v>273</v>
      </c>
      <c r="P19" s="27" t="s">
        <v>498</v>
      </c>
      <c r="Q19" s="27" t="s">
        <v>499</v>
      </c>
      <c r="R19" s="21" t="s">
        <v>500</v>
      </c>
      <c r="S19" s="21" t="s">
        <v>501</v>
      </c>
      <c r="T19" s="24">
        <v>8</v>
      </c>
      <c r="U19" s="24">
        <f t="shared" si="2"/>
        <v>4</v>
      </c>
    </row>
    <row r="20" spans="13:21">
      <c r="M20" s="19" t="s">
        <v>618</v>
      </c>
      <c r="N20" s="20" t="s">
        <v>619</v>
      </c>
      <c r="O20" s="21" t="s">
        <v>273</v>
      </c>
      <c r="P20" s="27" t="s">
        <v>504</v>
      </c>
      <c r="Q20" s="27" t="s">
        <v>505</v>
      </c>
      <c r="R20" s="21" t="s">
        <v>506</v>
      </c>
      <c r="S20" s="21" t="s">
        <v>507</v>
      </c>
      <c r="T20" s="24"/>
      <c r="U20" s="24">
        <f>+U19+1</f>
        <v>5</v>
      </c>
    </row>
    <row r="21" spans="13:21">
      <c r="M21" s="19" t="s">
        <v>620</v>
      </c>
      <c r="N21" s="20" t="s">
        <v>621</v>
      </c>
      <c r="O21" s="21" t="s">
        <v>273</v>
      </c>
      <c r="P21" s="27" t="s">
        <v>510</v>
      </c>
      <c r="Q21" s="27" t="s">
        <v>511</v>
      </c>
      <c r="R21" s="21" t="s">
        <v>512</v>
      </c>
      <c r="S21" s="21" t="s">
        <v>513</v>
      </c>
      <c r="T21" s="24"/>
      <c r="U21" s="24">
        <f t="shared" ref="U21:U27" si="3">+U20+1</f>
        <v>6</v>
      </c>
    </row>
    <row r="22" spans="13:21">
      <c r="M22" s="19" t="s">
        <v>622</v>
      </c>
      <c r="N22" s="20" t="s">
        <v>623</v>
      </c>
      <c r="O22" s="21" t="s">
        <v>273</v>
      </c>
      <c r="P22" s="27" t="s">
        <v>516</v>
      </c>
      <c r="Q22" s="27" t="s">
        <v>517</v>
      </c>
      <c r="R22" s="21" t="s">
        <v>518</v>
      </c>
      <c r="S22" s="21" t="s">
        <v>519</v>
      </c>
      <c r="T22" s="24"/>
      <c r="U22" s="24">
        <f t="shared" si="3"/>
        <v>7</v>
      </c>
    </row>
    <row r="23" spans="13:21">
      <c r="M23" s="19" t="s">
        <v>624</v>
      </c>
      <c r="N23" s="20" t="s">
        <v>625</v>
      </c>
      <c r="O23" s="21" t="s">
        <v>273</v>
      </c>
      <c r="P23" s="27" t="s">
        <v>522</v>
      </c>
      <c r="Q23" s="27" t="s">
        <v>523</v>
      </c>
      <c r="R23" s="21" t="s">
        <v>524</v>
      </c>
      <c r="S23" s="21" t="s">
        <v>525</v>
      </c>
      <c r="T23" s="24"/>
      <c r="U23" s="24">
        <f t="shared" si="3"/>
        <v>8</v>
      </c>
    </row>
    <row r="24" spans="13:21">
      <c r="M24" s="19" t="s">
        <v>626</v>
      </c>
      <c r="N24" s="20" t="s">
        <v>627</v>
      </c>
      <c r="O24" s="21" t="s">
        <v>273</v>
      </c>
      <c r="P24" s="28" t="s">
        <v>528</v>
      </c>
      <c r="Q24" s="28" t="s">
        <v>529</v>
      </c>
      <c r="R24" s="21" t="s">
        <v>530</v>
      </c>
      <c r="S24" s="21" t="s">
        <v>531</v>
      </c>
      <c r="T24" s="24"/>
      <c r="U24" s="24">
        <f t="shared" si="3"/>
        <v>9</v>
      </c>
    </row>
    <row r="25" spans="13:21">
      <c r="M25" s="19" t="s">
        <v>628</v>
      </c>
      <c r="N25" s="20" t="s">
        <v>629</v>
      </c>
      <c r="O25" s="21" t="s">
        <v>273</v>
      </c>
      <c r="P25" s="28" t="s">
        <v>534</v>
      </c>
      <c r="Q25" s="28" t="s">
        <v>535</v>
      </c>
      <c r="R25" s="21" t="s">
        <v>536</v>
      </c>
      <c r="S25" s="21" t="s">
        <v>537</v>
      </c>
      <c r="T25" s="24"/>
      <c r="U25" s="24">
        <f t="shared" si="3"/>
        <v>10</v>
      </c>
    </row>
    <row r="26" spans="13:21">
      <c r="M26" s="19" t="s">
        <v>630</v>
      </c>
      <c r="N26" s="20" t="s">
        <v>631</v>
      </c>
      <c r="O26" s="21" t="s">
        <v>273</v>
      </c>
      <c r="P26" s="28" t="s">
        <v>540</v>
      </c>
      <c r="Q26" s="28" t="s">
        <v>541</v>
      </c>
      <c r="R26" s="21" t="s">
        <v>542</v>
      </c>
      <c r="S26" s="21" t="s">
        <v>543</v>
      </c>
      <c r="T26" s="24"/>
      <c r="U26" s="24">
        <f t="shared" si="3"/>
        <v>11</v>
      </c>
    </row>
    <row r="27" spans="13:21">
      <c r="M27" s="19" t="s">
        <v>632</v>
      </c>
      <c r="N27" s="20" t="s">
        <v>633</v>
      </c>
      <c r="O27" s="21" t="s">
        <v>273</v>
      </c>
      <c r="P27" s="28" t="s">
        <v>546</v>
      </c>
      <c r="Q27" s="28" t="s">
        <v>547</v>
      </c>
      <c r="R27" s="21" t="s">
        <v>548</v>
      </c>
      <c r="S27" s="21" t="s">
        <v>549</v>
      </c>
      <c r="T27" s="24"/>
      <c r="U27" s="24">
        <f t="shared" si="3"/>
        <v>12</v>
      </c>
    </row>
    <row r="28" spans="13:21">
      <c r="M28" s="19" t="s">
        <v>634</v>
      </c>
      <c r="N28" s="20" t="s">
        <v>635</v>
      </c>
      <c r="O28" s="21" t="s">
        <v>273</v>
      </c>
      <c r="P28" s="28" t="s">
        <v>552</v>
      </c>
      <c r="Q28" s="28" t="s">
        <v>553</v>
      </c>
      <c r="R28" s="21" t="s">
        <v>554</v>
      </c>
      <c r="S28" s="21" t="s">
        <v>555</v>
      </c>
      <c r="T28" s="24"/>
      <c r="U28" s="24"/>
    </row>
    <row r="29" spans="13:21">
      <c r="M29" s="19" t="s">
        <v>636</v>
      </c>
      <c r="N29" s="29"/>
      <c r="O29" s="21" t="s">
        <v>273</v>
      </c>
      <c r="P29" s="28" t="s">
        <v>558</v>
      </c>
      <c r="Q29" s="28" t="s">
        <v>559</v>
      </c>
      <c r="R29" s="21"/>
      <c r="S29" s="21"/>
      <c r="T29" s="24"/>
      <c r="U29" s="24"/>
    </row>
    <row r="30" spans="13:21">
      <c r="M30" s="17"/>
      <c r="N30" s="17"/>
      <c r="O30" s="17"/>
      <c r="P30" s="28" t="s">
        <v>562</v>
      </c>
      <c r="Q30" s="28" t="s">
        <v>563</v>
      </c>
      <c r="R30" s="21"/>
      <c r="S30" s="21"/>
      <c r="T30" s="24"/>
      <c r="U30" s="24"/>
    </row>
    <row r="31" spans="13:21">
      <c r="M31" s="17"/>
      <c r="N31" s="17"/>
      <c r="O31" s="17"/>
      <c r="P31" s="28" t="s">
        <v>566</v>
      </c>
      <c r="Q31" s="28" t="s">
        <v>567</v>
      </c>
      <c r="R31" s="21"/>
      <c r="S31" s="21"/>
      <c r="T31" s="24"/>
      <c r="U31" s="24"/>
    </row>
    <row r="32" spans="13:21">
      <c r="M32" s="17"/>
      <c r="N32" s="17"/>
      <c r="O32" s="17"/>
      <c r="P32" s="28" t="s">
        <v>570</v>
      </c>
      <c r="Q32" s="28" t="s">
        <v>571</v>
      </c>
      <c r="R32" s="21"/>
      <c r="S32" s="21"/>
      <c r="T32" s="24"/>
      <c r="U32" s="24"/>
    </row>
    <row r="33" spans="13:21">
      <c r="M33" s="17"/>
      <c r="N33" s="17"/>
      <c r="O33" s="17"/>
      <c r="P33" s="28" t="s">
        <v>574</v>
      </c>
      <c r="Q33" s="28" t="s">
        <v>575</v>
      </c>
      <c r="R33" s="21"/>
      <c r="S33" s="21"/>
      <c r="T33" s="24"/>
      <c r="U33" s="24"/>
    </row>
    <row r="34" spans="13:21">
      <c r="M34" s="17"/>
      <c r="N34" s="17"/>
      <c r="O34" s="17"/>
      <c r="P34" s="21"/>
      <c r="Q34" s="21" t="s">
        <v>578</v>
      </c>
      <c r="R34" s="21"/>
      <c r="S34" s="21"/>
      <c r="T34" s="24"/>
      <c r="U34" s="24"/>
    </row>
    <row r="35" spans="13:21">
      <c r="M35" s="17"/>
      <c r="N35" s="17"/>
      <c r="O35" s="17"/>
      <c r="P35" s="21"/>
      <c r="Q35" s="21"/>
      <c r="R35" s="21"/>
      <c r="S35" s="21"/>
      <c r="T35" s="24"/>
      <c r="U35" s="24"/>
    </row>
    <row r="36" spans="13:21">
      <c r="M36" s="17"/>
      <c r="N36" s="17"/>
      <c r="O36" s="17"/>
      <c r="P36" s="21"/>
      <c r="Q36" s="21"/>
      <c r="R36" s="17"/>
      <c r="S36" s="17"/>
      <c r="T36" s="24"/>
      <c r="U36" s="24"/>
    </row>
    <row r="37" spans="13:21">
      <c r="M37" s="17"/>
      <c r="N37" s="17"/>
      <c r="O37" s="17"/>
      <c r="P37" s="21"/>
      <c r="Q37" s="21"/>
      <c r="R37" s="17"/>
      <c r="S37" s="17"/>
      <c r="T37" s="17"/>
      <c r="U37" s="17"/>
    </row>
    <row r="38" spans="13:21">
      <c r="M38" s="17"/>
      <c r="N38" s="17"/>
      <c r="O38" s="17"/>
      <c r="P38" s="21"/>
      <c r="Q38" s="21"/>
      <c r="R38" s="17"/>
      <c r="S38" s="17"/>
      <c r="T38" s="17"/>
      <c r="U38" s="17"/>
    </row>
    <row r="39" spans="13:21">
      <c r="M39" s="17"/>
      <c r="N39" s="17"/>
      <c r="O39" s="17"/>
      <c r="P39" s="21"/>
      <c r="Q39" s="21"/>
      <c r="R39" s="17"/>
      <c r="S39" s="17"/>
      <c r="T39" s="17"/>
      <c r="U39" s="17"/>
    </row>
    <row r="40" spans="13:21">
      <c r="M40" s="17"/>
      <c r="N40" s="17"/>
      <c r="O40" s="17"/>
      <c r="P40" s="21"/>
      <c r="Q40" s="21"/>
      <c r="R40" s="17"/>
      <c r="S40" s="17"/>
      <c r="T40" s="17"/>
      <c r="U40" s="17"/>
    </row>
    <row r="41" spans="13:21">
      <c r="M41" s="17"/>
      <c r="N41" s="17"/>
      <c r="O41" s="17"/>
      <c r="P41" s="21"/>
      <c r="Q41" s="21"/>
      <c r="R41" s="17"/>
      <c r="S41" s="17"/>
      <c r="T41" s="17"/>
      <c r="U41" s="17"/>
    </row>
    <row r="42" spans="13:21">
      <c r="M42" s="17"/>
      <c r="N42" s="17"/>
      <c r="O42" s="17"/>
      <c r="P42" s="21"/>
      <c r="Q42" s="21"/>
      <c r="R42" s="17"/>
      <c r="S42" s="17"/>
      <c r="T42" s="17"/>
      <c r="U42" s="17"/>
    </row>
    <row r="43" spans="13:21">
      <c r="M43" s="17"/>
      <c r="N43" s="17"/>
      <c r="O43" s="17"/>
      <c r="P43" s="21"/>
      <c r="Q43" s="21"/>
      <c r="R43" s="17"/>
      <c r="S43" s="17"/>
      <c r="T43" s="17"/>
      <c r="U43" s="17"/>
    </row>
    <row r="44" spans="13:21">
      <c r="M44" s="17"/>
      <c r="N44" s="17"/>
      <c r="O44" s="17"/>
      <c r="P44" s="21"/>
      <c r="Q44" s="21"/>
      <c r="R44" s="17"/>
      <c r="S44" s="17"/>
      <c r="T44" s="17"/>
      <c r="U44" s="17"/>
    </row>
    <row r="45" spans="13:21">
      <c r="M45" s="17"/>
      <c r="N45" s="17"/>
      <c r="O45" s="17"/>
      <c r="P45" s="21"/>
      <c r="Q45" s="21"/>
      <c r="R45" s="17"/>
      <c r="S45" s="17"/>
      <c r="T45" s="17"/>
      <c r="U45" s="17"/>
    </row>
    <row r="46" spans="13:21">
      <c r="M46" s="17"/>
      <c r="N46" s="17"/>
      <c r="O46" s="17"/>
      <c r="P46" s="21"/>
      <c r="Q46" s="21"/>
      <c r="R46" s="17"/>
      <c r="S46" s="17"/>
      <c r="T46" s="17"/>
      <c r="U46" s="17"/>
    </row>
    <row r="47" spans="13:21">
      <c r="M47" s="17"/>
      <c r="N47" s="17"/>
      <c r="O47" s="17"/>
      <c r="P47" s="21"/>
      <c r="Q47" s="21"/>
      <c r="R47" s="17"/>
      <c r="S47" s="17"/>
      <c r="T47" s="17"/>
      <c r="U47" s="17"/>
    </row>
    <row r="48" spans="13:21">
      <c r="M48" s="17"/>
      <c r="N48" s="17"/>
      <c r="O48" s="17"/>
      <c r="P48" s="21"/>
      <c r="Q48" s="21"/>
      <c r="R48" s="17"/>
      <c r="S48" s="17"/>
      <c r="T48" s="17"/>
      <c r="U48" s="17"/>
    </row>
    <row r="49" spans="13:21">
      <c r="M49" s="17"/>
      <c r="N49" s="17"/>
      <c r="O49" s="17"/>
      <c r="P49" s="21"/>
      <c r="Q49" s="21"/>
      <c r="R49" s="17"/>
      <c r="S49" s="17"/>
      <c r="T49" s="17"/>
      <c r="U49" s="17"/>
    </row>
    <row r="50" spans="13:21">
      <c r="M50" s="17"/>
      <c r="N50" s="17"/>
      <c r="O50" s="17"/>
      <c r="P50" s="21"/>
      <c r="Q50" s="21"/>
      <c r="R50" s="17"/>
      <c r="S50" s="17"/>
      <c r="T50" s="17"/>
      <c r="U50" s="17"/>
    </row>
    <row r="51" spans="13:21">
      <c r="M51" s="17"/>
      <c r="N51" s="17"/>
      <c r="O51" s="17"/>
      <c r="P51" s="21"/>
      <c r="Q51" s="21"/>
      <c r="R51" s="17"/>
      <c r="S51" s="17"/>
      <c r="T51" s="17"/>
      <c r="U51" s="17"/>
    </row>
    <row r="52" spans="13:21">
      <c r="M52" s="17"/>
      <c r="N52" s="17"/>
      <c r="O52" s="17"/>
      <c r="P52" s="21"/>
      <c r="Q52" s="21"/>
      <c r="R52" s="17"/>
      <c r="S52" s="17"/>
      <c r="T52" s="17"/>
      <c r="U52" s="17"/>
    </row>
    <row r="53" spans="13:21">
      <c r="M53" s="17"/>
      <c r="N53" s="17"/>
      <c r="O53" s="17"/>
      <c r="P53" s="21"/>
      <c r="Q53" s="21"/>
      <c r="R53" s="17"/>
      <c r="S53" s="17"/>
      <c r="T53" s="17"/>
      <c r="U53" s="17"/>
    </row>
    <row r="54" spans="13:21">
      <c r="M54" s="17"/>
      <c r="N54" s="17"/>
      <c r="O54" s="17"/>
      <c r="P54" s="21"/>
      <c r="Q54" s="21"/>
      <c r="R54" s="17"/>
      <c r="S54" s="17"/>
      <c r="T54" s="17"/>
      <c r="U54" s="17"/>
    </row>
    <row r="55" spans="13:21">
      <c r="M55" s="17"/>
      <c r="N55" s="17"/>
      <c r="O55" s="17"/>
      <c r="P55" s="21"/>
      <c r="Q55" s="21"/>
      <c r="R55" s="17"/>
      <c r="S55" s="17"/>
      <c r="T55" s="17"/>
      <c r="U55" s="17"/>
    </row>
    <row r="56" spans="13:21">
      <c r="M56" s="17"/>
      <c r="N56" s="17"/>
      <c r="O56" s="17"/>
      <c r="P56" s="21"/>
      <c r="Q56" s="21"/>
      <c r="R56" s="17"/>
      <c r="S56" s="17"/>
      <c r="T56" s="17"/>
      <c r="U56" s="17"/>
    </row>
    <row r="57" spans="13:21">
      <c r="M57" s="17"/>
      <c r="N57" s="17"/>
      <c r="O57" s="17"/>
      <c r="P57" s="21"/>
      <c r="Q57" s="21"/>
      <c r="R57" s="17"/>
      <c r="S57" s="17"/>
      <c r="T57" s="17"/>
      <c r="U57" s="17"/>
    </row>
    <row r="58" spans="13:21">
      <c r="M58" s="17"/>
      <c r="N58" s="17"/>
      <c r="O58" s="17"/>
      <c r="P58" s="21"/>
      <c r="Q58" s="21"/>
      <c r="R58" s="17"/>
      <c r="S58" s="17"/>
      <c r="T58" s="17"/>
      <c r="U58" s="17"/>
    </row>
    <row r="59" spans="13:21">
      <c r="M59" s="17"/>
      <c r="N59" s="17"/>
      <c r="O59" s="17"/>
      <c r="P59" s="21"/>
      <c r="Q59" s="21"/>
      <c r="R59" s="17"/>
      <c r="S59" s="17"/>
      <c r="T59" s="17"/>
      <c r="U59" s="17"/>
    </row>
    <row r="60" spans="13:21">
      <c r="M60" s="17"/>
      <c r="N60" s="17"/>
      <c r="O60" s="17"/>
      <c r="P60" s="21"/>
      <c r="Q60" s="21"/>
      <c r="R60" s="17"/>
      <c r="S60" s="17"/>
      <c r="T60" s="17"/>
      <c r="U60" s="17"/>
    </row>
    <row r="61" spans="13:21">
      <c r="M61" s="17"/>
      <c r="N61" s="17"/>
      <c r="O61" s="17"/>
      <c r="P61" s="21"/>
      <c r="Q61" s="21"/>
      <c r="R61" s="17"/>
      <c r="S61" s="17"/>
      <c r="T61" s="17"/>
      <c r="U61" s="17"/>
    </row>
    <row r="62" spans="13:21">
      <c r="M62" s="17"/>
      <c r="N62" s="17"/>
      <c r="O62" s="17"/>
      <c r="P62" s="21"/>
      <c r="Q62" s="21" t="s">
        <v>581</v>
      </c>
      <c r="R62" s="17"/>
      <c r="S62" s="17"/>
      <c r="T62" s="17"/>
      <c r="U62" s="17"/>
    </row>
    <row r="63" spans="13:21">
      <c r="M63" s="17"/>
      <c r="N63" s="17"/>
      <c r="O63" s="17"/>
      <c r="P63" s="21"/>
      <c r="Q63" s="21"/>
      <c r="R63" s="17"/>
      <c r="S63" s="17"/>
      <c r="T63" s="17"/>
      <c r="U63" s="17"/>
    </row>
    <row r="64" spans="13:21">
      <c r="M64" s="17"/>
      <c r="N64" s="17"/>
      <c r="O64" s="17"/>
      <c r="P64" s="21"/>
      <c r="Q64" s="21"/>
      <c r="R64" s="17"/>
      <c r="S64" s="17"/>
      <c r="T64" s="17"/>
      <c r="U64" s="17"/>
    </row>
    <row r="65" spans="13:21">
      <c r="M65" s="17"/>
      <c r="N65" s="17"/>
      <c r="O65" s="17"/>
      <c r="P65" s="21"/>
      <c r="Q65" s="21"/>
      <c r="R65" s="17"/>
      <c r="S65" s="17"/>
      <c r="T65" s="17"/>
      <c r="U65" s="17"/>
    </row>
    <row r="66" spans="13:21">
      <c r="M66" s="17"/>
      <c r="N66" s="17"/>
      <c r="O66" s="17"/>
      <c r="P66" s="21"/>
      <c r="Q66" s="21"/>
      <c r="R66" s="17"/>
      <c r="S66" s="17"/>
      <c r="T66" s="17"/>
      <c r="U66" s="17"/>
    </row>
    <row r="67" spans="13:21">
      <c r="M67" s="17"/>
      <c r="N67" s="17"/>
      <c r="O67" s="17"/>
      <c r="P67" s="21"/>
      <c r="Q67" s="21"/>
      <c r="R67" s="17"/>
      <c r="S67" s="17"/>
      <c r="T67" s="17"/>
      <c r="U67" s="17"/>
    </row>
    <row r="68" spans="13:21">
      <c r="M68" s="17"/>
      <c r="N68" s="17"/>
      <c r="O68" s="17"/>
      <c r="P68" s="21"/>
      <c r="Q68" s="21"/>
      <c r="R68" s="17"/>
      <c r="S68" s="17"/>
      <c r="T68" s="17"/>
      <c r="U68" s="17"/>
    </row>
    <row r="69" spans="13:21">
      <c r="M69" s="17"/>
      <c r="N69" s="17"/>
      <c r="O69" s="17"/>
      <c r="P69" s="21"/>
      <c r="Q69" s="21"/>
      <c r="R69" s="17"/>
      <c r="S69" s="17"/>
      <c r="T69" s="17"/>
      <c r="U69" s="17"/>
    </row>
    <row r="70" spans="13:21">
      <c r="M70" s="17"/>
      <c r="N70" s="17"/>
      <c r="O70" s="17"/>
      <c r="P70" s="21"/>
      <c r="Q70" s="21"/>
      <c r="R70" s="17"/>
      <c r="S70" s="17"/>
      <c r="T70" s="17"/>
      <c r="U70" s="17"/>
    </row>
    <row r="71" spans="13:21">
      <c r="M71" s="17"/>
      <c r="N71" s="17"/>
      <c r="O71" s="17"/>
      <c r="P71" s="21"/>
      <c r="Q71" s="21"/>
      <c r="R71" s="17"/>
      <c r="S71" s="17"/>
      <c r="T71" s="17"/>
      <c r="U71" s="17"/>
    </row>
    <row r="72" spans="13:21">
      <c r="M72" s="17"/>
      <c r="N72" s="17"/>
      <c r="O72" s="17"/>
      <c r="P72" s="21"/>
      <c r="R72" s="17"/>
      <c r="S72" s="17"/>
      <c r="T72" s="17"/>
      <c r="U72" s="17"/>
    </row>
    <row r="73" spans="13:21">
      <c r="M73" s="17"/>
      <c r="N73" s="17"/>
      <c r="O73" s="17"/>
      <c r="P73" s="21"/>
      <c r="R73" s="17"/>
      <c r="S73" s="17"/>
      <c r="T73" s="17"/>
      <c r="U73" s="17"/>
    </row>
  </sheetData>
  <dataValidations count="7">
    <dataValidation type="list" allowBlank="1" showInputMessage="1" showErrorMessage="1" sqref="C3" xr:uid="{D03C83A2-A1EF-459F-B800-9AA9A57C0809}">
      <formula1>Plumbing_Area_Name</formula1>
    </dataValidation>
    <dataValidation type="list" allowBlank="1" showInputMessage="1" showErrorMessage="1" sqref="H3:I3" xr:uid="{1180D212-3D1C-4E57-A03E-1B3EC64FC941}">
      <formula1>Plumbing_Pipe_Size</formula1>
    </dataValidation>
    <dataValidation type="list" allowBlank="1" showInputMessage="1" showErrorMessage="1" sqref="J3" xr:uid="{669A27A0-FE5C-44AB-BBFD-31FCB6449D63}">
      <formula1>Plumbing_Thickness</formula1>
    </dataValidation>
    <dataValidation type="list" allowBlank="1" showInputMessage="1" showErrorMessage="1" sqref="E3" xr:uid="{55EC63DF-D0CE-442B-9BAF-B633878B9CE6}">
      <formula1>Plumbing_Material_Description</formula1>
    </dataValidation>
    <dataValidation type="list" allowBlank="1" showInputMessage="1" showErrorMessage="1" sqref="B3 D3" xr:uid="{F5D2A231-C3AB-4D2A-9082-2FEB3039D555}">
      <formula1>Plumbing_Material_Code</formula1>
    </dataValidation>
    <dataValidation type="list" allowBlank="1" showInputMessage="1" showErrorMessage="1" sqref="A3" xr:uid="{7A015D7E-4AA8-458C-9C9D-6656EF5BC2BD}">
      <formula1>Plumbing_System</formula1>
    </dataValidation>
    <dataValidation type="list" allowBlank="1" showInputMessage="1" showErrorMessage="1" sqref="A1" xr:uid="{22686C1F-E4C0-415C-B405-A56F08008345}">
      <formula1>Mechanical_System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BA35-1EB2-4164-8F56-4C03654F113A}">
  <sheetPr>
    <tabColor rgb="FF00B0F0"/>
  </sheetPr>
  <dimension ref="A1:P33"/>
  <sheetViews>
    <sheetView workbookViewId="0">
      <selection activeCell="G18" sqref="G18"/>
    </sheetView>
  </sheetViews>
  <sheetFormatPr defaultColWidth="8.85546875" defaultRowHeight="15.75"/>
  <cols>
    <col min="1" max="3" width="8.85546875" style="8"/>
    <col min="4" max="4" width="25" style="8" bestFit="1" customWidth="1"/>
    <col min="5" max="7" width="8.85546875" style="8"/>
    <col min="8" max="8" width="15.5703125" style="8" bestFit="1" customWidth="1"/>
    <col min="9" max="9" width="6.28515625" style="8" bestFit="1" customWidth="1"/>
    <col min="10" max="10" width="24.5703125" style="8" bestFit="1" customWidth="1"/>
    <col min="11" max="13" width="8.85546875" style="8"/>
    <col min="14" max="14" width="9.28515625" style="8" bestFit="1" customWidth="1"/>
    <col min="15" max="15" width="4.85546875" style="8" bestFit="1" customWidth="1"/>
    <col min="16" max="16" width="41.28515625" style="8" bestFit="1" customWidth="1"/>
    <col min="17" max="16384" width="8.85546875" style="8"/>
  </cols>
  <sheetData>
    <row r="1" spans="1:16">
      <c r="A1" s="20" t="s">
        <v>637</v>
      </c>
      <c r="B1" s="30" t="s">
        <v>258</v>
      </c>
      <c r="C1" s="31" t="s">
        <v>274</v>
      </c>
      <c r="D1" s="19" t="s">
        <v>638</v>
      </c>
      <c r="H1" s="32" t="s">
        <v>639</v>
      </c>
      <c r="I1" s="32"/>
      <c r="J1" s="17"/>
      <c r="N1" s="33" t="s">
        <v>640</v>
      </c>
      <c r="O1" s="34"/>
      <c r="P1" s="35"/>
    </row>
    <row r="2" spans="1:16">
      <c r="A2" s="20" t="s">
        <v>641</v>
      </c>
      <c r="B2" s="30" t="s">
        <v>258</v>
      </c>
      <c r="C2" s="31" t="s">
        <v>274</v>
      </c>
      <c r="D2" s="19" t="s">
        <v>642</v>
      </c>
      <c r="H2" s="21" t="s">
        <v>412</v>
      </c>
      <c r="I2" s="32" t="s">
        <v>643</v>
      </c>
      <c r="J2" s="21" t="s">
        <v>413</v>
      </c>
      <c r="N2" s="21">
        <v>175</v>
      </c>
      <c r="O2" s="36" t="s">
        <v>258</v>
      </c>
      <c r="P2" s="21" t="s">
        <v>644</v>
      </c>
    </row>
    <row r="3" spans="1:16">
      <c r="A3" s="20" t="s">
        <v>645</v>
      </c>
      <c r="B3" s="30" t="s">
        <v>258</v>
      </c>
      <c r="C3" s="31" t="s">
        <v>274</v>
      </c>
      <c r="D3" s="19" t="s">
        <v>646</v>
      </c>
      <c r="H3" s="21" t="s">
        <v>418</v>
      </c>
      <c r="I3" s="32" t="s">
        <v>643</v>
      </c>
      <c r="J3" s="21" t="s">
        <v>419</v>
      </c>
      <c r="N3" s="21">
        <v>275</v>
      </c>
      <c r="O3" s="36" t="s">
        <v>258</v>
      </c>
      <c r="P3" s="21" t="s">
        <v>647</v>
      </c>
    </row>
    <row r="4" spans="1:16">
      <c r="A4" s="20" t="s">
        <v>648</v>
      </c>
      <c r="B4" s="30" t="s">
        <v>258</v>
      </c>
      <c r="C4" s="31" t="s">
        <v>274</v>
      </c>
      <c r="D4" s="19" t="s">
        <v>649</v>
      </c>
      <c r="H4" s="21" t="s">
        <v>424</v>
      </c>
      <c r="I4" s="32" t="s">
        <v>643</v>
      </c>
      <c r="J4" s="21" t="s">
        <v>425</v>
      </c>
      <c r="N4" s="21">
        <v>11</v>
      </c>
      <c r="O4" s="36" t="s">
        <v>258</v>
      </c>
      <c r="P4" s="21" t="s">
        <v>650</v>
      </c>
    </row>
    <row r="5" spans="1:16">
      <c r="A5" s="20" t="s">
        <v>651</v>
      </c>
      <c r="B5" s="30" t="s">
        <v>258</v>
      </c>
      <c r="C5" s="31" t="s">
        <v>274</v>
      </c>
      <c r="D5" s="19" t="s">
        <v>652</v>
      </c>
      <c r="H5" s="21" t="s">
        <v>430</v>
      </c>
      <c r="I5" s="32" t="s">
        <v>643</v>
      </c>
      <c r="J5" s="21" t="s">
        <v>431</v>
      </c>
      <c r="N5" s="21">
        <v>21</v>
      </c>
      <c r="O5" s="36" t="s">
        <v>258</v>
      </c>
      <c r="P5" s="21" t="s">
        <v>653</v>
      </c>
    </row>
    <row r="6" spans="1:16">
      <c r="A6" s="20" t="s">
        <v>527</v>
      </c>
      <c r="B6" s="30" t="s">
        <v>258</v>
      </c>
      <c r="C6" s="31" t="s">
        <v>274</v>
      </c>
      <c r="D6" s="19" t="s">
        <v>654</v>
      </c>
      <c r="H6" s="25" t="s">
        <v>436</v>
      </c>
      <c r="I6" s="37" t="s">
        <v>643</v>
      </c>
      <c r="J6" s="25" t="s">
        <v>437</v>
      </c>
      <c r="N6" s="21">
        <v>115</v>
      </c>
      <c r="O6" s="36" t="s">
        <v>258</v>
      </c>
      <c r="P6" s="21" t="s">
        <v>655</v>
      </c>
    </row>
    <row r="7" spans="1:16">
      <c r="A7" s="20" t="s">
        <v>656</v>
      </c>
      <c r="B7" s="30" t="s">
        <v>258</v>
      </c>
      <c r="C7" s="31" t="s">
        <v>274</v>
      </c>
      <c r="D7" s="19" t="s">
        <v>657</v>
      </c>
      <c r="H7" s="25" t="s">
        <v>441</v>
      </c>
      <c r="I7" s="37" t="s">
        <v>643</v>
      </c>
      <c r="J7" s="25" t="s">
        <v>214</v>
      </c>
      <c r="N7" s="21">
        <v>215</v>
      </c>
      <c r="O7" s="36" t="s">
        <v>258</v>
      </c>
      <c r="P7" s="21" t="s">
        <v>658</v>
      </c>
    </row>
    <row r="8" spans="1:16">
      <c r="A8" s="20" t="s">
        <v>659</v>
      </c>
      <c r="B8" s="30" t="s">
        <v>258</v>
      </c>
      <c r="C8" s="31" t="s">
        <v>274</v>
      </c>
      <c r="D8" s="19" t="s">
        <v>660</v>
      </c>
      <c r="H8" s="21" t="s">
        <v>446</v>
      </c>
      <c r="I8" s="32" t="s">
        <v>643</v>
      </c>
      <c r="J8" s="21" t="s">
        <v>447</v>
      </c>
      <c r="N8" s="21" t="s">
        <v>661</v>
      </c>
      <c r="O8" s="36" t="s">
        <v>258</v>
      </c>
      <c r="P8" s="21" t="s">
        <v>662</v>
      </c>
    </row>
    <row r="9" spans="1:16">
      <c r="A9" s="20" t="s">
        <v>663</v>
      </c>
      <c r="B9" s="30" t="s">
        <v>258</v>
      </c>
      <c r="C9" s="31" t="s">
        <v>274</v>
      </c>
      <c r="D9" s="19" t="s">
        <v>664</v>
      </c>
      <c r="H9" s="21" t="s">
        <v>452</v>
      </c>
      <c r="I9" s="32" t="s">
        <v>643</v>
      </c>
      <c r="J9" s="21" t="s">
        <v>453</v>
      </c>
      <c r="N9" s="21" t="s">
        <v>665</v>
      </c>
      <c r="O9" s="36" t="s">
        <v>258</v>
      </c>
      <c r="P9" s="21" t="s">
        <v>666</v>
      </c>
    </row>
    <row r="10" spans="1:16">
      <c r="A10" s="20" t="s">
        <v>667</v>
      </c>
      <c r="B10" s="30" t="s">
        <v>258</v>
      </c>
      <c r="C10" s="31" t="s">
        <v>274</v>
      </c>
      <c r="D10" s="19" t="s">
        <v>668</v>
      </c>
      <c r="H10" s="21" t="s">
        <v>458</v>
      </c>
      <c r="I10" s="32" t="s">
        <v>643</v>
      </c>
      <c r="J10" s="21" t="s">
        <v>459</v>
      </c>
      <c r="N10" s="21" t="s">
        <v>669</v>
      </c>
      <c r="O10" s="36" t="s">
        <v>258</v>
      </c>
      <c r="P10" s="21" t="s">
        <v>670</v>
      </c>
    </row>
    <row r="11" spans="1:16">
      <c r="A11" s="20" t="s">
        <v>671</v>
      </c>
      <c r="B11" s="30" t="s">
        <v>258</v>
      </c>
      <c r="C11" s="31" t="s">
        <v>274</v>
      </c>
      <c r="D11" s="19" t="s">
        <v>672</v>
      </c>
      <c r="H11" s="21" t="s">
        <v>464</v>
      </c>
      <c r="I11" s="32" t="s">
        <v>643</v>
      </c>
      <c r="J11" s="21" t="s">
        <v>465</v>
      </c>
      <c r="N11" s="21" t="s">
        <v>673</v>
      </c>
      <c r="O11" s="36" t="s">
        <v>258</v>
      </c>
      <c r="P11" s="21" t="s">
        <v>674</v>
      </c>
    </row>
    <row r="12" spans="1:16">
      <c r="A12" s="20" t="s">
        <v>675</v>
      </c>
      <c r="B12" s="30" t="s">
        <v>258</v>
      </c>
      <c r="C12" s="31" t="s">
        <v>274</v>
      </c>
      <c r="D12" s="19" t="s">
        <v>676</v>
      </c>
      <c r="H12" s="25" t="s">
        <v>470</v>
      </c>
      <c r="I12" s="37" t="s">
        <v>643</v>
      </c>
      <c r="J12" s="25" t="s">
        <v>471</v>
      </c>
      <c r="N12" s="21" t="s">
        <v>677</v>
      </c>
      <c r="O12" s="36" t="s">
        <v>258</v>
      </c>
      <c r="P12" s="21" t="s">
        <v>678</v>
      </c>
    </row>
    <row r="13" spans="1:16">
      <c r="A13" s="20" t="s">
        <v>679</v>
      </c>
      <c r="B13" s="30" t="s">
        <v>258</v>
      </c>
      <c r="C13" s="31" t="s">
        <v>274</v>
      </c>
      <c r="D13" s="19" t="s">
        <v>680</v>
      </c>
      <c r="H13" s="25" t="s">
        <v>476</v>
      </c>
      <c r="I13" s="37" t="s">
        <v>643</v>
      </c>
      <c r="J13" s="25" t="s">
        <v>477</v>
      </c>
      <c r="N13" s="21" t="s">
        <v>681</v>
      </c>
      <c r="O13" s="36" t="s">
        <v>258</v>
      </c>
      <c r="P13" s="21" t="s">
        <v>682</v>
      </c>
    </row>
    <row r="14" spans="1:16">
      <c r="A14" s="20" t="s">
        <v>683</v>
      </c>
      <c r="B14" s="30" t="s">
        <v>258</v>
      </c>
      <c r="C14" s="31" t="s">
        <v>274</v>
      </c>
      <c r="D14" s="19" t="s">
        <v>684</v>
      </c>
      <c r="H14" s="25" t="s">
        <v>482</v>
      </c>
      <c r="I14" s="37" t="s">
        <v>643</v>
      </c>
      <c r="J14" s="25" t="s">
        <v>483</v>
      </c>
      <c r="N14" s="21" t="s">
        <v>685</v>
      </c>
      <c r="O14" s="36" t="s">
        <v>258</v>
      </c>
      <c r="P14" s="21" t="s">
        <v>686</v>
      </c>
    </row>
    <row r="15" spans="1:16">
      <c r="A15" s="20" t="s">
        <v>687</v>
      </c>
      <c r="B15" s="30" t="s">
        <v>258</v>
      </c>
      <c r="C15" s="31" t="s">
        <v>274</v>
      </c>
      <c r="D15" s="19" t="s">
        <v>688</v>
      </c>
      <c r="H15" s="25" t="s">
        <v>488</v>
      </c>
      <c r="I15" s="37" t="s">
        <v>643</v>
      </c>
      <c r="J15" s="25" t="s">
        <v>489</v>
      </c>
      <c r="N15" s="21" t="s">
        <v>689</v>
      </c>
      <c r="O15" s="36" t="s">
        <v>258</v>
      </c>
      <c r="P15" s="21" t="s">
        <v>690</v>
      </c>
    </row>
    <row r="16" spans="1:16">
      <c r="A16" s="20" t="s">
        <v>691</v>
      </c>
      <c r="B16" s="30" t="s">
        <v>258</v>
      </c>
      <c r="C16" s="31" t="s">
        <v>274</v>
      </c>
      <c r="D16" s="19" t="s">
        <v>692</v>
      </c>
      <c r="H16" s="21" t="s">
        <v>494</v>
      </c>
      <c r="I16" s="32" t="s">
        <v>643</v>
      </c>
      <c r="J16" s="21" t="s">
        <v>495</v>
      </c>
      <c r="N16" s="21" t="s">
        <v>693</v>
      </c>
      <c r="O16" s="36" t="s">
        <v>258</v>
      </c>
      <c r="P16" s="21" t="s">
        <v>694</v>
      </c>
    </row>
    <row r="17" spans="1:16">
      <c r="A17" s="20" t="s">
        <v>695</v>
      </c>
      <c r="B17" s="30" t="s">
        <v>258</v>
      </c>
      <c r="C17" s="31" t="s">
        <v>274</v>
      </c>
      <c r="D17" s="19" t="s">
        <v>696</v>
      </c>
      <c r="H17" s="21" t="s">
        <v>500</v>
      </c>
      <c r="I17" s="32" t="s">
        <v>643</v>
      </c>
      <c r="J17" s="21" t="s">
        <v>501</v>
      </c>
      <c r="N17" s="21" t="s">
        <v>697</v>
      </c>
      <c r="O17" s="36" t="s">
        <v>258</v>
      </c>
      <c r="P17" s="21" t="s">
        <v>698</v>
      </c>
    </row>
    <row r="18" spans="1:16">
      <c r="A18" s="20" t="s">
        <v>699</v>
      </c>
      <c r="B18" s="30" t="s">
        <v>258</v>
      </c>
      <c r="C18" s="31" t="s">
        <v>274</v>
      </c>
      <c r="D18" s="19" t="s">
        <v>700</v>
      </c>
      <c r="H18" s="21" t="s">
        <v>701</v>
      </c>
      <c r="I18" s="32" t="s">
        <v>643</v>
      </c>
      <c r="J18" s="21" t="s">
        <v>702</v>
      </c>
      <c r="N18" s="21" t="s">
        <v>703</v>
      </c>
      <c r="O18" s="36" t="s">
        <v>258</v>
      </c>
      <c r="P18" s="21" t="s">
        <v>704</v>
      </c>
    </row>
    <row r="19" spans="1:16">
      <c r="A19" s="20" t="s">
        <v>705</v>
      </c>
      <c r="B19" s="30" t="s">
        <v>258</v>
      </c>
      <c r="C19" s="31" t="s">
        <v>274</v>
      </c>
      <c r="D19" s="19" t="s">
        <v>706</v>
      </c>
      <c r="H19" s="21" t="s">
        <v>506</v>
      </c>
      <c r="I19" s="32" t="s">
        <v>643</v>
      </c>
      <c r="J19" s="21" t="s">
        <v>507</v>
      </c>
      <c r="N19" s="21" t="s">
        <v>707</v>
      </c>
      <c r="O19" s="36" t="s">
        <v>258</v>
      </c>
      <c r="P19" s="21" t="s">
        <v>708</v>
      </c>
    </row>
    <row r="20" spans="1:16">
      <c r="A20" s="20" t="s">
        <v>709</v>
      </c>
      <c r="B20" s="30" t="s">
        <v>258</v>
      </c>
      <c r="C20" s="31" t="s">
        <v>274</v>
      </c>
      <c r="D20" s="19" t="s">
        <v>710</v>
      </c>
      <c r="H20" s="21" t="s">
        <v>512</v>
      </c>
      <c r="I20" s="32" t="s">
        <v>643</v>
      </c>
      <c r="J20" s="21" t="s">
        <v>513</v>
      </c>
      <c r="N20" s="21" t="s">
        <v>711</v>
      </c>
      <c r="O20" s="36" t="s">
        <v>258</v>
      </c>
      <c r="P20" s="21" t="s">
        <v>712</v>
      </c>
    </row>
    <row r="21" spans="1:16">
      <c r="H21" s="21" t="s">
        <v>518</v>
      </c>
      <c r="I21" s="32" t="s">
        <v>643</v>
      </c>
      <c r="J21" s="21" t="s">
        <v>519</v>
      </c>
      <c r="N21" s="21" t="s">
        <v>713</v>
      </c>
      <c r="O21" s="36" t="s">
        <v>258</v>
      </c>
      <c r="P21" s="21" t="s">
        <v>714</v>
      </c>
    </row>
    <row r="22" spans="1:16">
      <c r="H22" s="21" t="s">
        <v>524</v>
      </c>
      <c r="I22" s="32" t="s">
        <v>643</v>
      </c>
      <c r="J22" s="21" t="s">
        <v>525</v>
      </c>
      <c r="N22" s="21" t="s">
        <v>715</v>
      </c>
      <c r="O22" s="36" t="s">
        <v>258</v>
      </c>
      <c r="P22" s="21" t="s">
        <v>716</v>
      </c>
    </row>
    <row r="23" spans="1:16">
      <c r="N23" s="21" t="s">
        <v>717</v>
      </c>
      <c r="O23" s="36" t="s">
        <v>258</v>
      </c>
      <c r="P23" s="21" t="s">
        <v>718</v>
      </c>
    </row>
    <row r="24" spans="1:16">
      <c r="N24" s="21" t="s">
        <v>719</v>
      </c>
      <c r="O24" s="36" t="s">
        <v>258</v>
      </c>
      <c r="P24" s="21" t="s">
        <v>720</v>
      </c>
    </row>
    <row r="25" spans="1:16">
      <c r="N25" s="21" t="s">
        <v>721</v>
      </c>
      <c r="O25" s="36" t="s">
        <v>258</v>
      </c>
      <c r="P25" s="21" t="s">
        <v>722</v>
      </c>
    </row>
    <row r="26" spans="1:16">
      <c r="N26" s="21" t="s">
        <v>723</v>
      </c>
      <c r="O26" s="36" t="s">
        <v>258</v>
      </c>
      <c r="P26" s="21" t="s">
        <v>724</v>
      </c>
    </row>
    <row r="27" spans="1:16">
      <c r="N27" s="21" t="s">
        <v>725</v>
      </c>
      <c r="O27" s="36" t="s">
        <v>258</v>
      </c>
      <c r="P27" s="21" t="s">
        <v>726</v>
      </c>
    </row>
    <row r="28" spans="1:16">
      <c r="N28" s="21" t="s">
        <v>727</v>
      </c>
      <c r="O28" s="36" t="s">
        <v>258</v>
      </c>
      <c r="P28" s="21" t="s">
        <v>728</v>
      </c>
    </row>
    <row r="29" spans="1:16">
      <c r="N29" s="21" t="s">
        <v>729</v>
      </c>
      <c r="O29" s="36" t="s">
        <v>258</v>
      </c>
      <c r="P29" s="21" t="s">
        <v>730</v>
      </c>
    </row>
    <row r="30" spans="1:16">
      <c r="N30" s="21" t="s">
        <v>731</v>
      </c>
      <c r="O30" s="36" t="s">
        <v>258</v>
      </c>
      <c r="P30" s="21" t="s">
        <v>732</v>
      </c>
    </row>
    <row r="31" spans="1:16">
      <c r="N31" s="21" t="s">
        <v>733</v>
      </c>
      <c r="O31" s="36" t="s">
        <v>258</v>
      </c>
      <c r="P31" s="21" t="s">
        <v>734</v>
      </c>
    </row>
    <row r="32" spans="1:16">
      <c r="N32" s="21" t="s">
        <v>735</v>
      </c>
      <c r="O32" s="36" t="s">
        <v>258</v>
      </c>
      <c r="P32" s="21" t="s">
        <v>736</v>
      </c>
    </row>
    <row r="33" spans="14:16">
      <c r="N33" s="21" t="s">
        <v>737</v>
      </c>
      <c r="O33" s="36" t="s">
        <v>258</v>
      </c>
      <c r="P33" s="21" t="s">
        <v>738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D7F2-5F51-435B-9CF0-D08A22743BB9}">
  <sheetPr>
    <tabColor rgb="FFFFFF00"/>
    <pageSetUpPr fitToPage="1"/>
  </sheetPr>
  <dimension ref="A1:Q127"/>
  <sheetViews>
    <sheetView view="pageBreakPreview" topLeftCell="A42" zoomScale="85" zoomScaleNormal="100" zoomScaleSheetLayoutView="85" workbookViewId="0">
      <selection activeCell="G18" sqref="G18"/>
    </sheetView>
  </sheetViews>
  <sheetFormatPr defaultColWidth="12.28515625" defaultRowHeight="15.75" outlineLevelCol="1"/>
  <cols>
    <col min="1" max="3" width="24" style="83" customWidth="1"/>
    <col min="4" max="4" width="24" style="8" customWidth="1"/>
    <col min="5" max="5" width="24" style="84" customWidth="1"/>
    <col min="6" max="7" width="24" style="8" customWidth="1"/>
    <col min="8" max="8" width="29.42578125" style="8" customWidth="1"/>
    <col min="9" max="10" width="35.28515625" style="8" hidden="1" customWidth="1" outlineLevel="1"/>
    <col min="11" max="11" width="15.28515625" style="8" bestFit="1" customWidth="1" collapsed="1"/>
    <col min="12" max="14" width="22.28515625" style="8" customWidth="1"/>
    <col min="15" max="16384" width="12.28515625" style="8"/>
  </cols>
  <sheetData>
    <row r="1" spans="1:10" ht="34.5" customHeight="1">
      <c r="A1" s="894" t="s">
        <v>739</v>
      </c>
      <c r="B1" s="894"/>
      <c r="C1" s="894"/>
      <c r="D1" s="894"/>
      <c r="E1" s="38">
        <f>+E2</f>
        <v>0</v>
      </c>
      <c r="F1" s="887" t="str" cm="1">
        <f t="array" ref="F1">_xlfn.TEXTJOIN(", ",TRUE,IF(HVAC_Qnt="","",HVAC_System_Name_NO_Release))</f>
        <v/>
      </c>
      <c r="G1" s="887" t="str" cm="1">
        <f t="array" ref="G1">_xlfn.TEXTJOIN(", ",TRUE,IF(HVAC_Qnt="","",HVAC_System_Name_Release_qnt))</f>
        <v/>
      </c>
      <c r="H1" s="887" t="str">
        <f>IF(HVAC_breakout_no_Quantities="","",CONCATENATE(HVAC_breakout_no_Quantities,," - ",SUM(HVAC_Qnt)," LF"))</f>
        <v/>
      </c>
      <c r="I1" s="888"/>
      <c r="J1" s="889"/>
    </row>
    <row r="2" spans="1:10" ht="27.75" customHeight="1">
      <c r="A2" s="39">
        <f>SUM(HVAC_Qnt)</f>
        <v>0</v>
      </c>
      <c r="B2" s="39"/>
      <c r="C2" s="39"/>
      <c r="D2" s="40" t="s">
        <v>273</v>
      </c>
      <c r="E2" s="41">
        <f>SUM(HVAC_Cost_by_System)</f>
        <v>0</v>
      </c>
      <c r="F2" s="887"/>
      <c r="G2" s="887"/>
      <c r="H2" s="887"/>
      <c r="I2" s="890"/>
      <c r="J2" s="891"/>
    </row>
    <row r="3" spans="1:10" ht="18.75">
      <c r="A3" s="42" t="s">
        <v>740</v>
      </c>
      <c r="B3" s="42"/>
      <c r="C3" s="42"/>
      <c r="D3" s="42" t="s">
        <v>741</v>
      </c>
      <c r="E3" s="43" t="s">
        <v>742</v>
      </c>
      <c r="F3" s="42" t="s">
        <v>743</v>
      </c>
      <c r="G3" s="42" t="s">
        <v>744</v>
      </c>
      <c r="H3" s="42" t="s">
        <v>745</v>
      </c>
      <c r="I3" s="44" t="s">
        <v>746</v>
      </c>
      <c r="J3" s="44" t="s">
        <v>747</v>
      </c>
    </row>
    <row r="4" spans="1:10">
      <c r="A4" s="45"/>
      <c r="B4" s="45"/>
      <c r="C4" s="45"/>
      <c r="D4" s="20" t="s">
        <v>404</v>
      </c>
      <c r="E4" s="46"/>
      <c r="F4" s="47" t="s">
        <v>380</v>
      </c>
      <c r="G4" s="21" t="s">
        <v>273</v>
      </c>
      <c r="H4" s="19" t="s">
        <v>401</v>
      </c>
      <c r="I4" s="48" t="str">
        <f t="shared" ref="I4:I40" si="0">IF(ISBLANK(A4),"",CONCATENATE(H4))</f>
        <v/>
      </c>
      <c r="J4" s="49" t="str">
        <f t="shared" ref="J4" si="1">IF(ISBLANK(A4),"",CONCATENATE(H4," (",ROUNDUP(A4,0)," ",G4,")"))</f>
        <v/>
      </c>
    </row>
    <row r="5" spans="1:10">
      <c r="A5" s="45"/>
      <c r="B5" s="45"/>
      <c r="C5" s="45"/>
      <c r="D5" s="20" t="s">
        <v>409</v>
      </c>
      <c r="E5" s="46"/>
      <c r="F5" s="47" t="s">
        <v>380</v>
      </c>
      <c r="G5" s="21" t="s">
        <v>273</v>
      </c>
      <c r="H5" s="19" t="s">
        <v>408</v>
      </c>
      <c r="I5" s="48" t="str">
        <f t="shared" si="0"/>
        <v/>
      </c>
      <c r="J5" s="49" t="str">
        <f>IF(ISBLANK(A5),"",CONCATENATE(H5," (",ROUNDUP(A5,0)," ",G5,")"))</f>
        <v/>
      </c>
    </row>
    <row r="6" spans="1:10">
      <c r="A6" s="45"/>
      <c r="B6" s="45"/>
      <c r="C6" s="45"/>
      <c r="D6" s="20" t="s">
        <v>415</v>
      </c>
      <c r="E6" s="46"/>
      <c r="F6" s="47" t="s">
        <v>380</v>
      </c>
      <c r="G6" s="21" t="s">
        <v>273</v>
      </c>
      <c r="H6" s="19" t="s">
        <v>414</v>
      </c>
      <c r="I6" s="48" t="str">
        <f t="shared" si="0"/>
        <v/>
      </c>
      <c r="J6" s="49" t="str">
        <f t="shared" ref="J6:J40" si="2">IF(ISBLANK(A6),"",CONCATENATE(H6," (",ROUNDUP(A6,0)," ",G6,")"))</f>
        <v/>
      </c>
    </row>
    <row r="7" spans="1:10">
      <c r="A7" s="45"/>
      <c r="B7" s="45"/>
      <c r="C7" s="45"/>
      <c r="D7" s="20" t="s">
        <v>421</v>
      </c>
      <c r="E7" s="46"/>
      <c r="F7" s="47" t="s">
        <v>380</v>
      </c>
      <c r="G7" s="21" t="s">
        <v>273</v>
      </c>
      <c r="H7" s="19" t="s">
        <v>420</v>
      </c>
      <c r="I7" s="48" t="str">
        <f t="shared" si="0"/>
        <v/>
      </c>
      <c r="J7" s="49" t="str">
        <f t="shared" si="2"/>
        <v/>
      </c>
    </row>
    <row r="8" spans="1:10">
      <c r="A8" s="45"/>
      <c r="B8" s="45"/>
      <c r="C8" s="45"/>
      <c r="D8" s="20" t="s">
        <v>427</v>
      </c>
      <c r="E8" s="46"/>
      <c r="F8" s="47" t="s">
        <v>380</v>
      </c>
      <c r="G8" s="21" t="s">
        <v>273</v>
      </c>
      <c r="H8" s="19" t="s">
        <v>426</v>
      </c>
      <c r="I8" s="48" t="str">
        <f t="shared" si="0"/>
        <v/>
      </c>
      <c r="J8" s="49" t="str">
        <f t="shared" si="2"/>
        <v/>
      </c>
    </row>
    <row r="9" spans="1:10" ht="16.5" customHeight="1">
      <c r="A9" s="45"/>
      <c r="B9" s="45"/>
      <c r="C9" s="45"/>
      <c r="D9" s="20" t="s">
        <v>433</v>
      </c>
      <c r="E9" s="46"/>
      <c r="F9" s="47" t="s">
        <v>380</v>
      </c>
      <c r="G9" s="21" t="s">
        <v>273</v>
      </c>
      <c r="H9" s="19" t="s">
        <v>432</v>
      </c>
      <c r="I9" s="48" t="str">
        <f t="shared" si="0"/>
        <v/>
      </c>
      <c r="J9" s="49" t="str">
        <f t="shared" si="2"/>
        <v/>
      </c>
    </row>
    <row r="10" spans="1:10">
      <c r="A10" s="45"/>
      <c r="B10" s="45"/>
      <c r="C10" s="45"/>
      <c r="D10" s="20" t="s">
        <v>439</v>
      </c>
      <c r="E10" s="46"/>
      <c r="F10" s="47" t="s">
        <v>380</v>
      </c>
      <c r="G10" s="21" t="s">
        <v>273</v>
      </c>
      <c r="H10" s="19" t="s">
        <v>438</v>
      </c>
      <c r="I10" s="48" t="str">
        <f t="shared" si="0"/>
        <v/>
      </c>
      <c r="J10" s="49" t="str">
        <f t="shared" si="2"/>
        <v/>
      </c>
    </row>
    <row r="11" spans="1:10">
      <c r="A11" s="45"/>
      <c r="B11" s="45"/>
      <c r="C11" s="45"/>
      <c r="D11" s="20" t="s">
        <v>443</v>
      </c>
      <c r="E11" s="46"/>
      <c r="F11" s="47" t="s">
        <v>380</v>
      </c>
      <c r="G11" s="21" t="s">
        <v>273</v>
      </c>
      <c r="H11" s="19" t="s">
        <v>442</v>
      </c>
      <c r="I11" s="48" t="str">
        <f t="shared" si="0"/>
        <v/>
      </c>
      <c r="J11" s="49" t="str">
        <f t="shared" si="2"/>
        <v/>
      </c>
    </row>
    <row r="12" spans="1:10">
      <c r="A12" s="45"/>
      <c r="B12" s="45"/>
      <c r="C12" s="45"/>
      <c r="D12" s="20" t="s">
        <v>449</v>
      </c>
      <c r="E12" s="46"/>
      <c r="F12" s="47" t="s">
        <v>380</v>
      </c>
      <c r="G12" s="21" t="s">
        <v>273</v>
      </c>
      <c r="H12" s="19" t="s">
        <v>448</v>
      </c>
      <c r="I12" s="48" t="str">
        <f t="shared" si="0"/>
        <v/>
      </c>
      <c r="J12" s="49" t="str">
        <f t="shared" si="2"/>
        <v/>
      </c>
    </row>
    <row r="13" spans="1:10">
      <c r="A13" s="45"/>
      <c r="B13" s="45"/>
      <c r="C13" s="45"/>
      <c r="D13" s="20" t="s">
        <v>455</v>
      </c>
      <c r="E13" s="46"/>
      <c r="F13" s="47" t="s">
        <v>380</v>
      </c>
      <c r="G13" s="21" t="s">
        <v>273</v>
      </c>
      <c r="H13" s="19" t="s">
        <v>454</v>
      </c>
      <c r="I13" s="48" t="str">
        <f t="shared" si="0"/>
        <v/>
      </c>
      <c r="J13" s="49" t="str">
        <f t="shared" si="2"/>
        <v/>
      </c>
    </row>
    <row r="14" spans="1:10">
      <c r="A14" s="45"/>
      <c r="B14" s="45"/>
      <c r="C14" s="45"/>
      <c r="D14" s="20" t="s">
        <v>461</v>
      </c>
      <c r="E14" s="46"/>
      <c r="F14" s="47" t="s">
        <v>380</v>
      </c>
      <c r="G14" s="21" t="s">
        <v>273</v>
      </c>
      <c r="H14" s="19" t="s">
        <v>460</v>
      </c>
      <c r="I14" s="48" t="str">
        <f t="shared" si="0"/>
        <v/>
      </c>
      <c r="J14" s="49" t="str">
        <f t="shared" si="2"/>
        <v/>
      </c>
    </row>
    <row r="15" spans="1:10">
      <c r="A15" s="45"/>
      <c r="B15" s="45"/>
      <c r="C15" s="45"/>
      <c r="D15" s="20" t="s">
        <v>467</v>
      </c>
      <c r="E15" s="46"/>
      <c r="F15" s="47" t="s">
        <v>380</v>
      </c>
      <c r="G15" s="21" t="s">
        <v>273</v>
      </c>
      <c r="H15" s="19" t="s">
        <v>466</v>
      </c>
      <c r="I15" s="48" t="str">
        <f t="shared" si="0"/>
        <v/>
      </c>
      <c r="J15" s="49" t="str">
        <f t="shared" si="2"/>
        <v/>
      </c>
    </row>
    <row r="16" spans="1:10">
      <c r="A16" s="45"/>
      <c r="B16" s="45"/>
      <c r="C16" s="45"/>
      <c r="D16" s="20" t="s">
        <v>473</v>
      </c>
      <c r="E16" s="46"/>
      <c r="F16" s="47" t="s">
        <v>380</v>
      </c>
      <c r="G16" s="21" t="s">
        <v>273</v>
      </c>
      <c r="H16" s="19" t="s">
        <v>472</v>
      </c>
      <c r="I16" s="48" t="str">
        <f t="shared" si="0"/>
        <v/>
      </c>
      <c r="J16" s="49" t="str">
        <f t="shared" si="2"/>
        <v/>
      </c>
    </row>
    <row r="17" spans="1:10">
      <c r="A17" s="45"/>
      <c r="B17" s="45"/>
      <c r="C17" s="45"/>
      <c r="D17" s="20" t="s">
        <v>479</v>
      </c>
      <c r="E17" s="46"/>
      <c r="F17" s="47" t="s">
        <v>380</v>
      </c>
      <c r="G17" s="21" t="s">
        <v>273</v>
      </c>
      <c r="H17" s="19" t="s">
        <v>478</v>
      </c>
      <c r="I17" s="48" t="str">
        <f t="shared" si="0"/>
        <v/>
      </c>
      <c r="J17" s="49" t="str">
        <f t="shared" si="2"/>
        <v/>
      </c>
    </row>
    <row r="18" spans="1:10">
      <c r="A18" s="45"/>
      <c r="B18" s="45"/>
      <c r="C18" s="45"/>
      <c r="D18" s="20" t="s">
        <v>485</v>
      </c>
      <c r="E18" s="46"/>
      <c r="F18" s="47" t="s">
        <v>380</v>
      </c>
      <c r="G18" s="21" t="s">
        <v>273</v>
      </c>
      <c r="H18" s="19" t="s">
        <v>484</v>
      </c>
      <c r="I18" s="48" t="str">
        <f t="shared" si="0"/>
        <v/>
      </c>
      <c r="J18" s="49" t="str">
        <f t="shared" si="2"/>
        <v/>
      </c>
    </row>
    <row r="19" spans="1:10">
      <c r="A19" s="45"/>
      <c r="B19" s="45"/>
      <c r="C19" s="45"/>
      <c r="D19" s="20" t="s">
        <v>491</v>
      </c>
      <c r="E19" s="46"/>
      <c r="F19" s="47" t="s">
        <v>380</v>
      </c>
      <c r="G19" s="21" t="s">
        <v>273</v>
      </c>
      <c r="H19" s="19" t="s">
        <v>490</v>
      </c>
      <c r="I19" s="48" t="str">
        <f t="shared" si="0"/>
        <v/>
      </c>
      <c r="J19" s="49" t="str">
        <f t="shared" si="2"/>
        <v/>
      </c>
    </row>
    <row r="20" spans="1:10">
      <c r="A20" s="45"/>
      <c r="B20" s="45"/>
      <c r="C20" s="45"/>
      <c r="D20" s="20" t="s">
        <v>497</v>
      </c>
      <c r="E20" s="46"/>
      <c r="F20" s="47" t="s">
        <v>380</v>
      </c>
      <c r="G20" s="21" t="s">
        <v>273</v>
      </c>
      <c r="H20" s="19" t="s">
        <v>496</v>
      </c>
      <c r="I20" s="48" t="str">
        <f t="shared" si="0"/>
        <v/>
      </c>
      <c r="J20" s="49" t="str">
        <f t="shared" si="2"/>
        <v/>
      </c>
    </row>
    <row r="21" spans="1:10">
      <c r="A21" s="45"/>
      <c r="B21" s="45"/>
      <c r="C21" s="45"/>
      <c r="D21" s="20" t="s">
        <v>503</v>
      </c>
      <c r="E21" s="46"/>
      <c r="F21" s="47" t="s">
        <v>380</v>
      </c>
      <c r="G21" s="21" t="s">
        <v>273</v>
      </c>
      <c r="H21" s="19" t="s">
        <v>502</v>
      </c>
      <c r="I21" s="48" t="str">
        <f t="shared" si="0"/>
        <v/>
      </c>
      <c r="J21" s="49" t="str">
        <f t="shared" si="2"/>
        <v/>
      </c>
    </row>
    <row r="22" spans="1:10">
      <c r="A22" s="45"/>
      <c r="B22" s="45"/>
      <c r="C22" s="45"/>
      <c r="D22" s="20" t="s">
        <v>509</v>
      </c>
      <c r="E22" s="46"/>
      <c r="F22" s="47" t="s">
        <v>380</v>
      </c>
      <c r="G22" s="21" t="s">
        <v>273</v>
      </c>
      <c r="H22" s="19" t="s">
        <v>508</v>
      </c>
      <c r="I22" s="48" t="str">
        <f t="shared" si="0"/>
        <v/>
      </c>
      <c r="J22" s="49" t="str">
        <f t="shared" si="2"/>
        <v/>
      </c>
    </row>
    <row r="23" spans="1:10">
      <c r="A23" s="45"/>
      <c r="B23" s="45"/>
      <c r="C23" s="45"/>
      <c r="D23" s="20" t="s">
        <v>515</v>
      </c>
      <c r="E23" s="46"/>
      <c r="F23" s="47" t="s">
        <v>380</v>
      </c>
      <c r="G23" s="21" t="s">
        <v>273</v>
      </c>
      <c r="H23" s="19" t="s">
        <v>514</v>
      </c>
      <c r="I23" s="48" t="str">
        <f t="shared" si="0"/>
        <v/>
      </c>
      <c r="J23" s="49" t="str">
        <f t="shared" si="2"/>
        <v/>
      </c>
    </row>
    <row r="24" spans="1:10">
      <c r="A24" s="45"/>
      <c r="B24" s="45"/>
      <c r="C24" s="45"/>
      <c r="D24" s="20" t="s">
        <v>521</v>
      </c>
      <c r="E24" s="46"/>
      <c r="F24" s="47" t="s">
        <v>380</v>
      </c>
      <c r="G24" s="21" t="s">
        <v>273</v>
      </c>
      <c r="H24" s="19" t="s">
        <v>520</v>
      </c>
      <c r="I24" s="48" t="str">
        <f t="shared" si="0"/>
        <v/>
      </c>
      <c r="J24" s="49" t="str">
        <f t="shared" si="2"/>
        <v/>
      </c>
    </row>
    <row r="25" spans="1:10">
      <c r="A25" s="45"/>
      <c r="B25" s="45"/>
      <c r="C25" s="45"/>
      <c r="D25" s="20" t="s">
        <v>527</v>
      </c>
      <c r="E25" s="46"/>
      <c r="F25" s="47" t="s">
        <v>380</v>
      </c>
      <c r="G25" s="21" t="s">
        <v>273</v>
      </c>
      <c r="H25" s="19" t="s">
        <v>526</v>
      </c>
      <c r="I25" s="48" t="str">
        <f t="shared" si="0"/>
        <v/>
      </c>
      <c r="J25" s="49" t="str">
        <f t="shared" si="2"/>
        <v/>
      </c>
    </row>
    <row r="26" spans="1:10">
      <c r="A26" s="45"/>
      <c r="B26" s="45"/>
      <c r="C26" s="45"/>
      <c r="D26" s="20" t="s">
        <v>533</v>
      </c>
      <c r="E26" s="46"/>
      <c r="F26" s="47" t="s">
        <v>380</v>
      </c>
      <c r="G26" s="21" t="s">
        <v>273</v>
      </c>
      <c r="H26" s="19" t="s">
        <v>532</v>
      </c>
      <c r="I26" s="48" t="str">
        <f t="shared" si="0"/>
        <v/>
      </c>
      <c r="J26" s="49" t="str">
        <f t="shared" si="2"/>
        <v/>
      </c>
    </row>
    <row r="27" spans="1:10">
      <c r="A27" s="45"/>
      <c r="B27" s="45"/>
      <c r="C27" s="45"/>
      <c r="D27" s="20" t="s">
        <v>539</v>
      </c>
      <c r="E27" s="46"/>
      <c r="F27" s="47" t="s">
        <v>380</v>
      </c>
      <c r="G27" s="21" t="s">
        <v>273</v>
      </c>
      <c r="H27" s="19" t="s">
        <v>538</v>
      </c>
      <c r="I27" s="48" t="str">
        <f t="shared" si="0"/>
        <v/>
      </c>
      <c r="J27" s="49" t="str">
        <f t="shared" si="2"/>
        <v/>
      </c>
    </row>
    <row r="28" spans="1:10">
      <c r="A28" s="45"/>
      <c r="B28" s="45"/>
      <c r="C28" s="45"/>
      <c r="D28" s="20" t="s">
        <v>545</v>
      </c>
      <c r="E28" s="46"/>
      <c r="F28" s="47" t="s">
        <v>380</v>
      </c>
      <c r="G28" s="21" t="s">
        <v>273</v>
      </c>
      <c r="H28" s="19" t="s">
        <v>544</v>
      </c>
      <c r="I28" s="48" t="str">
        <f t="shared" si="0"/>
        <v/>
      </c>
      <c r="J28" s="49" t="str">
        <f t="shared" si="2"/>
        <v/>
      </c>
    </row>
    <row r="29" spans="1:10">
      <c r="A29" s="45"/>
      <c r="B29" s="45"/>
      <c r="C29" s="45"/>
      <c r="D29" s="20" t="s">
        <v>551</v>
      </c>
      <c r="E29" s="46"/>
      <c r="F29" s="47" t="s">
        <v>380</v>
      </c>
      <c r="G29" s="21" t="s">
        <v>273</v>
      </c>
      <c r="H29" s="19" t="s">
        <v>550</v>
      </c>
      <c r="I29" s="48" t="str">
        <f t="shared" si="0"/>
        <v/>
      </c>
      <c r="J29" s="49" t="str">
        <f t="shared" si="2"/>
        <v/>
      </c>
    </row>
    <row r="30" spans="1:10">
      <c r="A30" s="45"/>
      <c r="B30" s="45"/>
      <c r="C30" s="45"/>
      <c r="D30" s="20" t="s">
        <v>557</v>
      </c>
      <c r="E30" s="46"/>
      <c r="F30" s="47" t="s">
        <v>380</v>
      </c>
      <c r="G30" s="21" t="s">
        <v>273</v>
      </c>
      <c r="H30" s="19" t="s">
        <v>556</v>
      </c>
      <c r="I30" s="48" t="str">
        <f t="shared" si="0"/>
        <v/>
      </c>
      <c r="J30" s="49" t="str">
        <f t="shared" si="2"/>
        <v/>
      </c>
    </row>
    <row r="31" spans="1:10">
      <c r="A31" s="45"/>
      <c r="B31" s="45"/>
      <c r="C31" s="45"/>
      <c r="D31" s="20" t="s">
        <v>561</v>
      </c>
      <c r="E31" s="46"/>
      <c r="F31" s="47" t="s">
        <v>380</v>
      </c>
      <c r="G31" s="21" t="s">
        <v>273</v>
      </c>
      <c r="H31" s="19" t="s">
        <v>560</v>
      </c>
      <c r="I31" s="48" t="str">
        <f t="shared" si="0"/>
        <v/>
      </c>
      <c r="J31" s="49" t="str">
        <f t="shared" si="2"/>
        <v/>
      </c>
    </row>
    <row r="32" spans="1:10">
      <c r="A32" s="45"/>
      <c r="B32" s="45"/>
      <c r="C32" s="45"/>
      <c r="D32" s="20" t="s">
        <v>565</v>
      </c>
      <c r="E32" s="46"/>
      <c r="F32" s="47" t="s">
        <v>380</v>
      </c>
      <c r="G32" s="21" t="s">
        <v>273</v>
      </c>
      <c r="H32" s="19" t="s">
        <v>564</v>
      </c>
      <c r="I32" s="48" t="str">
        <f t="shared" si="0"/>
        <v/>
      </c>
      <c r="J32" s="49" t="str">
        <f t="shared" si="2"/>
        <v/>
      </c>
    </row>
    <row r="33" spans="1:17">
      <c r="A33" s="45"/>
      <c r="B33" s="45"/>
      <c r="C33" s="45"/>
      <c r="D33" s="20" t="s">
        <v>569</v>
      </c>
      <c r="E33" s="46"/>
      <c r="F33" s="47" t="s">
        <v>380</v>
      </c>
      <c r="G33" s="21" t="s">
        <v>273</v>
      </c>
      <c r="H33" s="19" t="s">
        <v>568</v>
      </c>
      <c r="I33" s="48" t="str">
        <f t="shared" si="0"/>
        <v/>
      </c>
      <c r="J33" s="49" t="str">
        <f t="shared" si="2"/>
        <v/>
      </c>
    </row>
    <row r="34" spans="1:17">
      <c r="A34" s="45"/>
      <c r="B34" s="45"/>
      <c r="C34" s="45"/>
      <c r="D34" s="20" t="s">
        <v>573</v>
      </c>
      <c r="E34" s="46"/>
      <c r="F34" s="47" t="s">
        <v>380</v>
      </c>
      <c r="G34" s="21" t="s">
        <v>273</v>
      </c>
      <c r="H34" s="19" t="s">
        <v>572</v>
      </c>
      <c r="I34" s="48" t="str">
        <f t="shared" si="0"/>
        <v/>
      </c>
      <c r="J34" s="49" t="str">
        <f t="shared" si="2"/>
        <v/>
      </c>
    </row>
    <row r="35" spans="1:17">
      <c r="A35" s="45"/>
      <c r="B35" s="45"/>
      <c r="C35" s="45"/>
      <c r="D35" s="20" t="s">
        <v>577</v>
      </c>
      <c r="E35" s="46"/>
      <c r="F35" s="47" t="s">
        <v>380</v>
      </c>
      <c r="G35" s="21" t="s">
        <v>273</v>
      </c>
      <c r="H35" s="19" t="s">
        <v>576</v>
      </c>
      <c r="I35" s="48" t="str">
        <f t="shared" si="0"/>
        <v/>
      </c>
      <c r="J35" s="49" t="str">
        <f t="shared" si="2"/>
        <v/>
      </c>
    </row>
    <row r="36" spans="1:17">
      <c r="A36" s="45"/>
      <c r="B36" s="45"/>
      <c r="C36" s="45"/>
      <c r="D36" s="20" t="s">
        <v>580</v>
      </c>
      <c r="E36" s="46"/>
      <c r="F36" s="47" t="s">
        <v>380</v>
      </c>
      <c r="G36" s="21" t="s">
        <v>273</v>
      </c>
      <c r="H36" s="19" t="s">
        <v>579</v>
      </c>
      <c r="I36" s="48" t="str">
        <f t="shared" si="0"/>
        <v/>
      </c>
      <c r="J36" s="49" t="str">
        <f t="shared" si="2"/>
        <v/>
      </c>
    </row>
    <row r="37" spans="1:17">
      <c r="A37" s="45"/>
      <c r="B37" s="45"/>
      <c r="C37" s="45"/>
      <c r="D37" s="17"/>
      <c r="E37" s="50"/>
      <c r="F37" s="47" t="s">
        <v>380</v>
      </c>
      <c r="G37" s="21" t="s">
        <v>273</v>
      </c>
      <c r="H37" s="51"/>
      <c r="I37" s="48" t="str">
        <f t="shared" si="0"/>
        <v/>
      </c>
      <c r="J37" s="49" t="str">
        <f t="shared" si="2"/>
        <v/>
      </c>
    </row>
    <row r="38" spans="1:17">
      <c r="A38" s="45"/>
      <c r="B38" s="45"/>
      <c r="C38" s="45"/>
      <c r="D38" s="17"/>
      <c r="E38" s="50"/>
      <c r="F38" s="47" t="s">
        <v>380</v>
      </c>
      <c r="G38" s="21" t="s">
        <v>273</v>
      </c>
      <c r="H38" s="51"/>
      <c r="I38" s="48" t="str">
        <f t="shared" si="0"/>
        <v/>
      </c>
      <c r="J38" s="49" t="str">
        <f t="shared" si="2"/>
        <v/>
      </c>
    </row>
    <row r="39" spans="1:17">
      <c r="A39" s="45"/>
      <c r="B39" s="45"/>
      <c r="C39" s="45"/>
      <c r="D39" s="17"/>
      <c r="E39" s="50"/>
      <c r="F39" s="47" t="s">
        <v>380</v>
      </c>
      <c r="G39" s="21" t="s">
        <v>273</v>
      </c>
      <c r="H39" s="51"/>
      <c r="I39" s="48" t="str">
        <f t="shared" si="0"/>
        <v/>
      </c>
      <c r="J39" s="49" t="str">
        <f t="shared" si="2"/>
        <v/>
      </c>
    </row>
    <row r="40" spans="1:17">
      <c r="A40" s="45"/>
      <c r="B40" s="45"/>
      <c r="C40" s="45"/>
      <c r="D40" s="17"/>
      <c r="E40" s="50"/>
      <c r="F40" s="47" t="s">
        <v>380</v>
      </c>
      <c r="G40" s="21" t="s">
        <v>273</v>
      </c>
      <c r="H40" s="51"/>
      <c r="I40" s="52" t="str">
        <f t="shared" si="0"/>
        <v/>
      </c>
      <c r="J40" s="53" t="str">
        <f t="shared" si="2"/>
        <v/>
      </c>
    </row>
    <row r="41" spans="1:17" ht="51" customHeight="1">
      <c r="A41" s="895" t="s">
        <v>748</v>
      </c>
      <c r="B41" s="896"/>
      <c r="C41" s="896"/>
      <c r="D41" s="897"/>
      <c r="E41" s="54">
        <f>SUM(Plumb_Cost_by_System)</f>
        <v>1000</v>
      </c>
      <c r="F41" s="887" t="str" cm="1">
        <f t="array" ref="F41">_xlfn.TEXTJOIN(", ",TRUE,IF(PLUMB_Qnt="","",PLUMB_System_Name_NO_Release))</f>
        <v/>
      </c>
      <c r="G41" s="887" t="str" cm="1">
        <f t="array" ref="G41">_xlfn.TEXTJOIN(", ",TRUE,IF(PLUMB_Qnt="","",PLUMB_System_Name_Release_qnt))</f>
        <v/>
      </c>
      <c r="H41" s="887" t="str">
        <f>IF(Plumbing_breakout_no_Quantities="","",CONCATENATE(Plumbing_breakout_no_Quantities," - ",SUM(PLUMB_Qnt)," LF"))</f>
        <v/>
      </c>
      <c r="I41" s="888"/>
      <c r="J41" s="889"/>
    </row>
    <row r="42" spans="1:17" ht="51" customHeight="1">
      <c r="A42" s="55">
        <f>SUM(PLUMB_Qnt)</f>
        <v>0</v>
      </c>
      <c r="B42" s="55"/>
      <c r="C42" s="55"/>
      <c r="D42" s="40" t="s">
        <v>273</v>
      </c>
      <c r="E42" s="56">
        <f>SUM(Plumb_Cost_by_System)</f>
        <v>1000</v>
      </c>
      <c r="F42" s="887"/>
      <c r="G42" s="887"/>
      <c r="H42" s="887"/>
      <c r="I42" s="890"/>
      <c r="J42" s="891"/>
    </row>
    <row r="43" spans="1:17" s="60" customFormat="1" ht="18.75">
      <c r="A43" s="57" t="s">
        <v>749</v>
      </c>
      <c r="B43" s="57"/>
      <c r="C43" s="57"/>
      <c r="D43" s="57" t="s">
        <v>750</v>
      </c>
      <c r="E43" s="58" t="s">
        <v>742</v>
      </c>
      <c r="F43" s="57" t="s">
        <v>751</v>
      </c>
      <c r="G43" s="57" t="s">
        <v>752</v>
      </c>
      <c r="H43" s="57" t="s">
        <v>753</v>
      </c>
      <c r="I43" s="59" t="s">
        <v>754</v>
      </c>
      <c r="J43" s="59" t="s">
        <v>755</v>
      </c>
      <c r="K43" s="8"/>
      <c r="L43" s="528"/>
      <c r="M43" s="528"/>
      <c r="N43" s="528"/>
      <c r="O43" s="528"/>
      <c r="P43" s="528"/>
      <c r="Q43" s="8"/>
    </row>
    <row r="44" spans="1:17">
      <c r="A44" s="45"/>
      <c r="B44" s="45"/>
      <c r="C44" s="45"/>
      <c r="D44" s="20" t="s">
        <v>404</v>
      </c>
      <c r="E44" s="46"/>
      <c r="F44" s="61" t="s">
        <v>260</v>
      </c>
      <c r="G44" s="21" t="s">
        <v>273</v>
      </c>
      <c r="H44" s="19" t="s">
        <v>401</v>
      </c>
      <c r="I44" s="48" t="str">
        <f t="shared" ref="I44:I73" si="3">IF(ISBLANK(A44),"",CONCATENATE(H44))</f>
        <v/>
      </c>
      <c r="J44" s="49" t="str">
        <f>IF(ISBLANK(A44),"",CONCATENATE(H44," (",ROUNDUP(A44,0)," ",G44,")"))</f>
        <v/>
      </c>
      <c r="Q44" s="528"/>
    </row>
    <row r="45" spans="1:17">
      <c r="A45" s="45"/>
      <c r="B45" s="45"/>
      <c r="C45" s="45"/>
      <c r="D45" s="20" t="s">
        <v>592</v>
      </c>
      <c r="E45" s="46">
        <v>1000</v>
      </c>
      <c r="F45" s="61" t="s">
        <v>260</v>
      </c>
      <c r="G45" s="21" t="s">
        <v>273</v>
      </c>
      <c r="H45" s="19" t="s">
        <v>591</v>
      </c>
      <c r="I45" s="48" t="str">
        <f t="shared" si="3"/>
        <v/>
      </c>
      <c r="J45" s="49" t="str">
        <f t="shared" ref="J45:J73" si="4">IF(ISBLANK(A45),"",CONCATENATE(H45," (",ROUNDUP(A45,0)," ",G45,")"))</f>
        <v/>
      </c>
    </row>
    <row r="46" spans="1:17">
      <c r="A46" s="45"/>
      <c r="B46" s="45"/>
      <c r="C46" s="45"/>
      <c r="D46" s="20" t="s">
        <v>594</v>
      </c>
      <c r="E46" s="46"/>
      <c r="F46" s="61" t="s">
        <v>260</v>
      </c>
      <c r="G46" s="21" t="s">
        <v>273</v>
      </c>
      <c r="H46" s="19" t="s">
        <v>593</v>
      </c>
      <c r="I46" s="48" t="str">
        <f t="shared" si="3"/>
        <v/>
      </c>
      <c r="J46" s="49" t="str">
        <f t="shared" si="4"/>
        <v/>
      </c>
    </row>
    <row r="47" spans="1:17">
      <c r="A47" s="45"/>
      <c r="B47" s="45"/>
      <c r="C47" s="45"/>
      <c r="D47" s="20" t="s">
        <v>427</v>
      </c>
      <c r="E47" s="46"/>
      <c r="F47" s="61" t="s">
        <v>260</v>
      </c>
      <c r="G47" s="21" t="s">
        <v>273</v>
      </c>
      <c r="H47" s="19" t="s">
        <v>595</v>
      </c>
      <c r="I47" s="48" t="str">
        <f t="shared" si="3"/>
        <v/>
      </c>
      <c r="J47" s="49" t="str">
        <f t="shared" si="4"/>
        <v/>
      </c>
    </row>
    <row r="48" spans="1:17">
      <c r="A48" s="45"/>
      <c r="B48" s="45"/>
      <c r="C48" s="45"/>
      <c r="D48" s="20" t="s">
        <v>597</v>
      </c>
      <c r="E48" s="46"/>
      <c r="F48" s="61" t="s">
        <v>260</v>
      </c>
      <c r="G48" s="21" t="s">
        <v>273</v>
      </c>
      <c r="H48" s="19" t="s">
        <v>596</v>
      </c>
      <c r="I48" s="48" t="str">
        <f t="shared" si="3"/>
        <v/>
      </c>
      <c r="J48" s="49" t="str">
        <f t="shared" si="4"/>
        <v/>
      </c>
    </row>
    <row r="49" spans="1:10">
      <c r="A49" s="45"/>
      <c r="B49" s="45"/>
      <c r="C49" s="45"/>
      <c r="D49" s="20" t="s">
        <v>461</v>
      </c>
      <c r="E49" s="46"/>
      <c r="F49" s="61" t="s">
        <v>260</v>
      </c>
      <c r="G49" s="21" t="s">
        <v>273</v>
      </c>
      <c r="H49" s="19" t="s">
        <v>598</v>
      </c>
      <c r="I49" s="48" t="str">
        <f t="shared" si="3"/>
        <v/>
      </c>
      <c r="J49" s="49" t="str">
        <f t="shared" si="4"/>
        <v/>
      </c>
    </row>
    <row r="50" spans="1:10">
      <c r="A50" s="45"/>
      <c r="B50" s="45"/>
      <c r="C50" s="45"/>
      <c r="D50" s="20" t="s">
        <v>600</v>
      </c>
      <c r="E50" s="46"/>
      <c r="F50" s="61" t="s">
        <v>260</v>
      </c>
      <c r="G50" s="21" t="s">
        <v>273</v>
      </c>
      <c r="H50" s="19" t="s">
        <v>599</v>
      </c>
      <c r="I50" s="48" t="str">
        <f t="shared" si="3"/>
        <v/>
      </c>
      <c r="J50" s="49" t="str">
        <f t="shared" si="4"/>
        <v/>
      </c>
    </row>
    <row r="51" spans="1:10">
      <c r="A51" s="45"/>
      <c r="B51" s="45"/>
      <c r="C51" s="45"/>
      <c r="D51" s="20" t="s">
        <v>602</v>
      </c>
      <c r="E51" s="46"/>
      <c r="F51" s="61" t="s">
        <v>260</v>
      </c>
      <c r="G51" s="21" t="s">
        <v>273</v>
      </c>
      <c r="H51" s="19" t="s">
        <v>601</v>
      </c>
      <c r="I51" s="48" t="str">
        <f t="shared" si="3"/>
        <v/>
      </c>
      <c r="J51" s="49" t="str">
        <f t="shared" si="4"/>
        <v/>
      </c>
    </row>
    <row r="52" spans="1:10">
      <c r="A52" s="45"/>
      <c r="B52" s="45"/>
      <c r="C52" s="45"/>
      <c r="D52" s="20" t="s">
        <v>533</v>
      </c>
      <c r="E52" s="46"/>
      <c r="F52" s="61" t="s">
        <v>260</v>
      </c>
      <c r="G52" s="21" t="s">
        <v>273</v>
      </c>
      <c r="H52" s="19" t="s">
        <v>532</v>
      </c>
      <c r="I52" s="48" t="str">
        <f t="shared" si="3"/>
        <v/>
      </c>
      <c r="J52" s="49" t="str">
        <f t="shared" si="4"/>
        <v/>
      </c>
    </row>
    <row r="53" spans="1:10">
      <c r="A53" s="45"/>
      <c r="B53" s="45"/>
      <c r="C53" s="45"/>
      <c r="D53" s="20" t="s">
        <v>604</v>
      </c>
      <c r="E53" s="46"/>
      <c r="F53" s="61" t="s">
        <v>260</v>
      </c>
      <c r="G53" s="21" t="s">
        <v>273</v>
      </c>
      <c r="H53" s="19" t="s">
        <v>603</v>
      </c>
      <c r="I53" s="48" t="str">
        <f t="shared" si="3"/>
        <v/>
      </c>
      <c r="J53" s="49" t="str">
        <f t="shared" si="4"/>
        <v/>
      </c>
    </row>
    <row r="54" spans="1:10">
      <c r="A54" s="45"/>
      <c r="B54" s="45"/>
      <c r="C54" s="45"/>
      <c r="D54" s="20" t="s">
        <v>606</v>
      </c>
      <c r="E54" s="46"/>
      <c r="F54" s="61" t="s">
        <v>260</v>
      </c>
      <c r="G54" s="21" t="s">
        <v>273</v>
      </c>
      <c r="H54" s="19" t="s">
        <v>605</v>
      </c>
      <c r="I54" s="48" t="str">
        <f t="shared" si="3"/>
        <v/>
      </c>
      <c r="J54" s="49" t="str">
        <f t="shared" si="4"/>
        <v/>
      </c>
    </row>
    <row r="55" spans="1:10">
      <c r="A55" s="45"/>
      <c r="B55" s="45"/>
      <c r="C55" s="45"/>
      <c r="D55" s="20" t="s">
        <v>608</v>
      </c>
      <c r="E55" s="46"/>
      <c r="F55" s="61" t="s">
        <v>260</v>
      </c>
      <c r="G55" s="21" t="s">
        <v>273</v>
      </c>
      <c r="H55" s="19" t="s">
        <v>607</v>
      </c>
      <c r="I55" s="48" t="str">
        <f t="shared" si="3"/>
        <v/>
      </c>
      <c r="J55" s="49" t="str">
        <f t="shared" si="4"/>
        <v/>
      </c>
    </row>
    <row r="56" spans="1:10">
      <c r="A56" s="45"/>
      <c r="B56" s="45"/>
      <c r="C56" s="45"/>
      <c r="D56" s="20" t="s">
        <v>610</v>
      </c>
      <c r="E56" s="46"/>
      <c r="F56" s="61" t="s">
        <v>260</v>
      </c>
      <c r="G56" s="21" t="s">
        <v>273</v>
      </c>
      <c r="H56" s="19" t="s">
        <v>609</v>
      </c>
      <c r="I56" s="48" t="str">
        <f t="shared" si="3"/>
        <v/>
      </c>
      <c r="J56" s="49" t="str">
        <f t="shared" si="4"/>
        <v/>
      </c>
    </row>
    <row r="57" spans="1:10">
      <c r="A57" s="45"/>
      <c r="B57" s="45"/>
      <c r="C57" s="45"/>
      <c r="D57" s="20" t="s">
        <v>612</v>
      </c>
      <c r="E57" s="46"/>
      <c r="F57" s="61" t="s">
        <v>260</v>
      </c>
      <c r="G57" s="21" t="s">
        <v>273</v>
      </c>
      <c r="H57" s="19" t="s">
        <v>611</v>
      </c>
      <c r="I57" s="48" t="str">
        <f t="shared" si="3"/>
        <v/>
      </c>
      <c r="J57" s="49" t="str">
        <f t="shared" si="4"/>
        <v/>
      </c>
    </row>
    <row r="58" spans="1:10">
      <c r="A58" s="45"/>
      <c r="B58" s="45"/>
      <c r="C58" s="45"/>
      <c r="D58" s="20" t="s">
        <v>613</v>
      </c>
      <c r="E58" s="46"/>
      <c r="F58" s="61" t="s">
        <v>260</v>
      </c>
      <c r="G58" s="21" t="s">
        <v>273</v>
      </c>
      <c r="H58" s="19" t="s">
        <v>544</v>
      </c>
      <c r="I58" s="48" t="str">
        <f t="shared" si="3"/>
        <v/>
      </c>
      <c r="J58" s="49" t="str">
        <f t="shared" si="4"/>
        <v/>
      </c>
    </row>
    <row r="59" spans="1:10">
      <c r="A59" s="45"/>
      <c r="B59" s="45"/>
      <c r="C59" s="45"/>
      <c r="D59" s="20" t="s">
        <v>615</v>
      </c>
      <c r="E59" s="46"/>
      <c r="F59" s="61" t="s">
        <v>260</v>
      </c>
      <c r="G59" s="21" t="s">
        <v>273</v>
      </c>
      <c r="H59" s="19" t="s">
        <v>614</v>
      </c>
      <c r="I59" s="48" t="str">
        <f t="shared" si="3"/>
        <v/>
      </c>
      <c r="J59" s="49" t="str">
        <f t="shared" si="4"/>
        <v/>
      </c>
    </row>
    <row r="60" spans="1:10">
      <c r="A60" s="45"/>
      <c r="B60" s="45"/>
      <c r="C60" s="45"/>
      <c r="D60" s="20" t="s">
        <v>617</v>
      </c>
      <c r="E60" s="46"/>
      <c r="F60" s="61" t="s">
        <v>260</v>
      </c>
      <c r="G60" s="21" t="s">
        <v>273</v>
      </c>
      <c r="H60" s="19" t="s">
        <v>616</v>
      </c>
      <c r="I60" s="48" t="str">
        <f t="shared" si="3"/>
        <v/>
      </c>
      <c r="J60" s="49" t="str">
        <f t="shared" si="4"/>
        <v/>
      </c>
    </row>
    <row r="61" spans="1:10">
      <c r="A61" s="45"/>
      <c r="B61" s="45"/>
      <c r="C61" s="45"/>
      <c r="D61" s="20" t="s">
        <v>619</v>
      </c>
      <c r="E61" s="46"/>
      <c r="F61" s="61" t="s">
        <v>260</v>
      </c>
      <c r="G61" s="21" t="s">
        <v>273</v>
      </c>
      <c r="H61" s="19" t="s">
        <v>618</v>
      </c>
      <c r="I61" s="48" t="str">
        <f t="shared" si="3"/>
        <v/>
      </c>
      <c r="J61" s="49" t="str">
        <f t="shared" si="4"/>
        <v/>
      </c>
    </row>
    <row r="62" spans="1:10">
      <c r="A62" s="45"/>
      <c r="B62" s="45"/>
      <c r="C62" s="45"/>
      <c r="D62" s="20" t="s">
        <v>621</v>
      </c>
      <c r="E62" s="46"/>
      <c r="F62" s="61" t="s">
        <v>260</v>
      </c>
      <c r="G62" s="21" t="s">
        <v>273</v>
      </c>
      <c r="H62" s="19" t="s">
        <v>620</v>
      </c>
      <c r="I62" s="48" t="str">
        <f t="shared" si="3"/>
        <v/>
      </c>
      <c r="J62" s="49" t="str">
        <f t="shared" si="4"/>
        <v/>
      </c>
    </row>
    <row r="63" spans="1:10">
      <c r="A63" s="45"/>
      <c r="B63" s="45"/>
      <c r="C63" s="45"/>
      <c r="D63" s="20" t="s">
        <v>623</v>
      </c>
      <c r="E63" s="46"/>
      <c r="F63" s="61" t="s">
        <v>260</v>
      </c>
      <c r="G63" s="21" t="s">
        <v>273</v>
      </c>
      <c r="H63" s="19" t="s">
        <v>622</v>
      </c>
      <c r="I63" s="48" t="str">
        <f t="shared" si="3"/>
        <v/>
      </c>
      <c r="J63" s="49" t="str">
        <f t="shared" si="4"/>
        <v/>
      </c>
    </row>
    <row r="64" spans="1:10">
      <c r="A64" s="45"/>
      <c r="B64" s="45"/>
      <c r="C64" s="45"/>
      <c r="D64" s="20" t="s">
        <v>625</v>
      </c>
      <c r="E64" s="46"/>
      <c r="F64" s="61" t="s">
        <v>260</v>
      </c>
      <c r="G64" s="21" t="s">
        <v>273</v>
      </c>
      <c r="H64" s="19" t="s">
        <v>624</v>
      </c>
      <c r="I64" s="48" t="str">
        <f t="shared" si="3"/>
        <v/>
      </c>
      <c r="J64" s="49" t="str">
        <f t="shared" si="4"/>
        <v/>
      </c>
    </row>
    <row r="65" spans="1:17">
      <c r="A65" s="45"/>
      <c r="B65" s="45"/>
      <c r="C65" s="45"/>
      <c r="D65" s="20" t="s">
        <v>627</v>
      </c>
      <c r="E65" s="46"/>
      <c r="F65" s="61" t="s">
        <v>260</v>
      </c>
      <c r="G65" s="21" t="s">
        <v>273</v>
      </c>
      <c r="H65" s="19" t="s">
        <v>626</v>
      </c>
      <c r="I65" s="48" t="str">
        <f t="shared" si="3"/>
        <v/>
      </c>
      <c r="J65" s="49" t="str">
        <f t="shared" si="4"/>
        <v/>
      </c>
    </row>
    <row r="66" spans="1:17">
      <c r="A66" s="45"/>
      <c r="B66" s="45"/>
      <c r="C66" s="45"/>
      <c r="D66" s="20" t="s">
        <v>631</v>
      </c>
      <c r="E66" s="46"/>
      <c r="F66" s="61" t="s">
        <v>260</v>
      </c>
      <c r="G66" s="21" t="s">
        <v>273</v>
      </c>
      <c r="H66" s="19" t="s">
        <v>630</v>
      </c>
      <c r="I66" s="48" t="str">
        <f t="shared" si="3"/>
        <v/>
      </c>
      <c r="J66" s="49" t="str">
        <f t="shared" si="4"/>
        <v/>
      </c>
    </row>
    <row r="67" spans="1:17">
      <c r="A67" s="45"/>
      <c r="B67" s="45"/>
      <c r="C67" s="45"/>
      <c r="D67" s="20" t="s">
        <v>633</v>
      </c>
      <c r="E67" s="46"/>
      <c r="F67" s="61" t="s">
        <v>260</v>
      </c>
      <c r="G67" s="21" t="s">
        <v>273</v>
      </c>
      <c r="H67" s="19" t="s">
        <v>632</v>
      </c>
      <c r="I67" s="48" t="str">
        <f t="shared" si="3"/>
        <v/>
      </c>
      <c r="J67" s="49" t="str">
        <f t="shared" si="4"/>
        <v/>
      </c>
    </row>
    <row r="68" spans="1:17">
      <c r="A68" s="45"/>
      <c r="B68" s="45"/>
      <c r="C68" s="45"/>
      <c r="D68" s="20" t="s">
        <v>629</v>
      </c>
      <c r="E68" s="46"/>
      <c r="F68" s="61" t="s">
        <v>260</v>
      </c>
      <c r="G68" s="21" t="s">
        <v>273</v>
      </c>
      <c r="H68" s="19" t="s">
        <v>628</v>
      </c>
      <c r="I68" s="48" t="str">
        <f t="shared" si="3"/>
        <v/>
      </c>
      <c r="J68" s="49" t="str">
        <f t="shared" si="4"/>
        <v/>
      </c>
    </row>
    <row r="69" spans="1:17">
      <c r="A69" s="45"/>
      <c r="B69" s="45"/>
      <c r="C69" s="45"/>
      <c r="D69" s="20" t="s">
        <v>635</v>
      </c>
      <c r="E69" s="46"/>
      <c r="F69" s="61" t="s">
        <v>260</v>
      </c>
      <c r="G69" s="21" t="s">
        <v>273</v>
      </c>
      <c r="H69" s="19" t="s">
        <v>634</v>
      </c>
      <c r="I69" s="48" t="str">
        <f t="shared" si="3"/>
        <v/>
      </c>
      <c r="J69" s="49" t="str">
        <f t="shared" si="4"/>
        <v/>
      </c>
    </row>
    <row r="70" spans="1:17">
      <c r="A70" s="45"/>
      <c r="B70" s="45"/>
      <c r="C70" s="45"/>
      <c r="D70" s="20"/>
      <c r="E70" s="46"/>
      <c r="F70" s="61" t="s">
        <v>260</v>
      </c>
      <c r="G70" s="21" t="s">
        <v>273</v>
      </c>
      <c r="H70" s="19"/>
      <c r="I70" s="48" t="str">
        <f t="shared" si="3"/>
        <v/>
      </c>
      <c r="J70" s="49" t="str">
        <f t="shared" si="4"/>
        <v/>
      </c>
    </row>
    <row r="71" spans="1:17">
      <c r="A71" s="45"/>
      <c r="B71" s="45"/>
      <c r="C71" s="45"/>
      <c r="D71" s="17"/>
      <c r="E71" s="50"/>
      <c r="F71" s="61" t="s">
        <v>260</v>
      </c>
      <c r="G71" s="21" t="s">
        <v>273</v>
      </c>
      <c r="H71" s="51"/>
      <c r="I71" s="48" t="str">
        <f t="shared" si="3"/>
        <v/>
      </c>
      <c r="J71" s="49" t="str">
        <f t="shared" si="4"/>
        <v/>
      </c>
    </row>
    <row r="72" spans="1:17">
      <c r="A72" s="45"/>
      <c r="B72" s="45"/>
      <c r="C72" s="45"/>
      <c r="D72" s="17"/>
      <c r="E72" s="50"/>
      <c r="F72" s="61" t="s">
        <v>260</v>
      </c>
      <c r="G72" s="21"/>
      <c r="H72" s="51"/>
      <c r="I72" s="48" t="str">
        <f t="shared" si="3"/>
        <v/>
      </c>
      <c r="J72" s="49" t="str">
        <f t="shared" si="4"/>
        <v/>
      </c>
    </row>
    <row r="73" spans="1:17">
      <c r="A73" s="45"/>
      <c r="B73" s="45"/>
      <c r="C73" s="45"/>
      <c r="D73" s="17"/>
      <c r="E73" s="50"/>
      <c r="F73" s="61" t="s">
        <v>260</v>
      </c>
      <c r="G73" s="21"/>
      <c r="H73" s="51"/>
      <c r="I73" s="52" t="str">
        <f t="shared" si="3"/>
        <v/>
      </c>
      <c r="J73" s="53" t="str">
        <f t="shared" si="4"/>
        <v/>
      </c>
    </row>
    <row r="74" spans="1:17" ht="38.25" customHeight="1">
      <c r="A74" s="884" t="s">
        <v>756</v>
      </c>
      <c r="B74" s="885"/>
      <c r="C74" s="885"/>
      <c r="D74" s="886"/>
      <c r="E74" s="62">
        <f>SUM(Duct_Cost_by_System)</f>
        <v>0</v>
      </c>
      <c r="F74" s="887" t="str" cm="1">
        <f t="array" ref="F74">_xlfn.TEXTJOIN(", ",TRUE,IF(DUCT_Qnt="","",DUCT_System_Name_NO_Release))</f>
        <v/>
      </c>
      <c r="G74" s="887" t="str" cm="1">
        <f t="array" ref="G74">_xlfn.TEXTJOIN(", ",TRUE,IF(DUCT_Qnt="","",DUCT_System_Name_Release_qnt))</f>
        <v/>
      </c>
      <c r="H74" s="887" t="str">
        <f>CONCATENATE(Duct_breakout_no_Quantities,," - ",SUM(DUCT_Qnt)," SF")</f>
        <v xml:space="preserve"> - 0 SF</v>
      </c>
      <c r="I74" s="888"/>
      <c r="J74" s="889"/>
    </row>
    <row r="75" spans="1:17" ht="28.5" customHeight="1">
      <c r="A75" s="63">
        <f>SUM(DUCT_Qnt)</f>
        <v>0</v>
      </c>
      <c r="B75" s="63"/>
      <c r="C75" s="63"/>
      <c r="D75" s="40" t="s">
        <v>273</v>
      </c>
      <c r="E75" s="64">
        <f>SUM(Duct_Cost_by_System)</f>
        <v>0</v>
      </c>
      <c r="F75" s="887"/>
      <c r="G75" s="887"/>
      <c r="H75" s="887"/>
      <c r="I75" s="890"/>
      <c r="J75" s="891"/>
    </row>
    <row r="76" spans="1:17" s="60" customFormat="1" ht="18.75">
      <c r="A76" s="65" t="s">
        <v>757</v>
      </c>
      <c r="B76" s="65"/>
      <c r="C76" s="65"/>
      <c r="D76" s="65" t="s">
        <v>758</v>
      </c>
      <c r="E76" s="65" t="s">
        <v>742</v>
      </c>
      <c r="F76" s="65" t="s">
        <v>759</v>
      </c>
      <c r="G76" s="65" t="s">
        <v>760</v>
      </c>
      <c r="H76" s="65" t="s">
        <v>761</v>
      </c>
      <c r="I76" s="66" t="s">
        <v>762</v>
      </c>
      <c r="J76" s="66" t="s">
        <v>763</v>
      </c>
      <c r="K76" s="8"/>
      <c r="L76" s="528"/>
      <c r="M76" s="528"/>
      <c r="N76" s="528"/>
      <c r="O76" s="528"/>
      <c r="P76" s="528"/>
      <c r="Q76" s="8"/>
    </row>
    <row r="77" spans="1:17">
      <c r="A77" s="45"/>
      <c r="B77" s="45"/>
      <c r="C77" s="45"/>
      <c r="D77" s="20" t="s">
        <v>637</v>
      </c>
      <c r="E77" s="46"/>
      <c r="F77" s="30" t="s">
        <v>258</v>
      </c>
      <c r="G77" s="31" t="s">
        <v>274</v>
      </c>
      <c r="H77" s="19" t="s">
        <v>638</v>
      </c>
      <c r="I77" s="48" t="str">
        <f t="shared" ref="I77:I100" si="5">IF(ISBLANK(A77),"",CONCATENATE(H77))</f>
        <v/>
      </c>
      <c r="J77" s="49" t="str">
        <f>IF(ISBLANK(A77),"",CONCATENATE(H77," (",ROUNDUP(A77,0)," ",G77,")"))</f>
        <v/>
      </c>
      <c r="Q77" s="528"/>
    </row>
    <row r="78" spans="1:17">
      <c r="A78" s="45"/>
      <c r="B78" s="45"/>
      <c r="C78" s="45"/>
      <c r="D78" s="20" t="s">
        <v>641</v>
      </c>
      <c r="E78" s="46"/>
      <c r="F78" s="30" t="s">
        <v>258</v>
      </c>
      <c r="G78" s="31" t="s">
        <v>274</v>
      </c>
      <c r="H78" s="19" t="s">
        <v>642</v>
      </c>
      <c r="I78" s="48" t="str">
        <f t="shared" si="5"/>
        <v/>
      </c>
      <c r="J78" s="49" t="str">
        <f t="shared" ref="J78:J100" si="6">IF(ISBLANK(A78),"",CONCATENATE(H78," (",ROUNDUP(A78,0)," ",G78,")"))</f>
        <v/>
      </c>
    </row>
    <row r="79" spans="1:17">
      <c r="A79" s="45"/>
      <c r="B79" s="45"/>
      <c r="C79" s="45"/>
      <c r="D79" s="20" t="s">
        <v>645</v>
      </c>
      <c r="E79" s="46"/>
      <c r="F79" s="30" t="s">
        <v>258</v>
      </c>
      <c r="G79" s="31" t="s">
        <v>274</v>
      </c>
      <c r="H79" s="19" t="s">
        <v>646</v>
      </c>
      <c r="I79" s="48" t="str">
        <f t="shared" si="5"/>
        <v/>
      </c>
      <c r="J79" s="49" t="str">
        <f t="shared" si="6"/>
        <v/>
      </c>
    </row>
    <row r="80" spans="1:17">
      <c r="A80" s="45"/>
      <c r="B80" s="45"/>
      <c r="C80" s="45"/>
      <c r="D80" s="20" t="s">
        <v>648</v>
      </c>
      <c r="E80" s="46"/>
      <c r="F80" s="30" t="s">
        <v>258</v>
      </c>
      <c r="G80" s="31" t="s">
        <v>274</v>
      </c>
      <c r="H80" s="19" t="s">
        <v>649</v>
      </c>
      <c r="I80" s="48" t="str">
        <f t="shared" si="5"/>
        <v/>
      </c>
      <c r="J80" s="49" t="str">
        <f t="shared" si="6"/>
        <v/>
      </c>
    </row>
    <row r="81" spans="1:10">
      <c r="A81" s="45"/>
      <c r="B81" s="45"/>
      <c r="C81" s="45"/>
      <c r="D81" s="20" t="s">
        <v>651</v>
      </c>
      <c r="E81" s="46"/>
      <c r="F81" s="30" t="s">
        <v>258</v>
      </c>
      <c r="G81" s="31" t="s">
        <v>274</v>
      </c>
      <c r="H81" s="19" t="s">
        <v>652</v>
      </c>
      <c r="I81" s="48" t="str">
        <f t="shared" si="5"/>
        <v/>
      </c>
      <c r="J81" s="49" t="str">
        <f t="shared" si="6"/>
        <v/>
      </c>
    </row>
    <row r="82" spans="1:10">
      <c r="A82" s="45"/>
      <c r="B82" s="45"/>
      <c r="C82" s="45"/>
      <c r="D82" s="20" t="s">
        <v>527</v>
      </c>
      <c r="E82" s="46"/>
      <c r="F82" s="30" t="s">
        <v>258</v>
      </c>
      <c r="G82" s="31" t="s">
        <v>274</v>
      </c>
      <c r="H82" s="19" t="s">
        <v>654</v>
      </c>
      <c r="I82" s="48" t="str">
        <f t="shared" si="5"/>
        <v/>
      </c>
      <c r="J82" s="49" t="str">
        <f t="shared" si="6"/>
        <v/>
      </c>
    </row>
    <row r="83" spans="1:10">
      <c r="A83" s="45"/>
      <c r="B83" s="45"/>
      <c r="C83" s="45"/>
      <c r="D83" s="20" t="s">
        <v>656</v>
      </c>
      <c r="E83" s="46"/>
      <c r="F83" s="30" t="s">
        <v>258</v>
      </c>
      <c r="G83" s="31" t="s">
        <v>274</v>
      </c>
      <c r="H83" s="19" t="s">
        <v>657</v>
      </c>
      <c r="I83" s="48" t="str">
        <f t="shared" si="5"/>
        <v/>
      </c>
      <c r="J83" s="49" t="str">
        <f t="shared" si="6"/>
        <v/>
      </c>
    </row>
    <row r="84" spans="1:10">
      <c r="A84" s="45"/>
      <c r="B84" s="45"/>
      <c r="C84" s="45"/>
      <c r="D84" s="20" t="s">
        <v>659</v>
      </c>
      <c r="E84" s="46"/>
      <c r="F84" s="30" t="s">
        <v>258</v>
      </c>
      <c r="G84" s="31" t="s">
        <v>274</v>
      </c>
      <c r="H84" s="19" t="s">
        <v>660</v>
      </c>
      <c r="I84" s="48" t="str">
        <f t="shared" si="5"/>
        <v/>
      </c>
      <c r="J84" s="49" t="str">
        <f t="shared" si="6"/>
        <v/>
      </c>
    </row>
    <row r="85" spans="1:10">
      <c r="A85" s="45"/>
      <c r="B85" s="45"/>
      <c r="C85" s="45"/>
      <c r="D85" s="20" t="s">
        <v>663</v>
      </c>
      <c r="E85" s="46"/>
      <c r="F85" s="30" t="s">
        <v>258</v>
      </c>
      <c r="G85" s="31" t="s">
        <v>274</v>
      </c>
      <c r="H85" s="19" t="s">
        <v>664</v>
      </c>
      <c r="I85" s="48" t="str">
        <f t="shared" si="5"/>
        <v/>
      </c>
      <c r="J85" s="49" t="str">
        <f t="shared" si="6"/>
        <v/>
      </c>
    </row>
    <row r="86" spans="1:10">
      <c r="A86" s="45"/>
      <c r="B86" s="45"/>
      <c r="C86" s="45"/>
      <c r="D86" s="20" t="s">
        <v>667</v>
      </c>
      <c r="E86" s="46"/>
      <c r="F86" s="30" t="s">
        <v>258</v>
      </c>
      <c r="G86" s="31" t="s">
        <v>274</v>
      </c>
      <c r="H86" s="19" t="s">
        <v>668</v>
      </c>
      <c r="I86" s="48" t="str">
        <f t="shared" si="5"/>
        <v/>
      </c>
      <c r="J86" s="49" t="str">
        <f t="shared" si="6"/>
        <v/>
      </c>
    </row>
    <row r="87" spans="1:10">
      <c r="A87" s="45"/>
      <c r="B87" s="45"/>
      <c r="C87" s="45"/>
      <c r="D87" s="20" t="s">
        <v>671</v>
      </c>
      <c r="E87" s="46"/>
      <c r="F87" s="30" t="s">
        <v>258</v>
      </c>
      <c r="G87" s="31" t="s">
        <v>274</v>
      </c>
      <c r="H87" s="19" t="s">
        <v>672</v>
      </c>
      <c r="I87" s="48" t="str">
        <f t="shared" si="5"/>
        <v/>
      </c>
      <c r="J87" s="49" t="str">
        <f t="shared" si="6"/>
        <v/>
      </c>
    </row>
    <row r="88" spans="1:10">
      <c r="A88" s="45"/>
      <c r="B88" s="45"/>
      <c r="C88" s="45"/>
      <c r="D88" s="20" t="s">
        <v>675</v>
      </c>
      <c r="E88" s="46"/>
      <c r="F88" s="30" t="s">
        <v>258</v>
      </c>
      <c r="G88" s="31" t="s">
        <v>274</v>
      </c>
      <c r="H88" s="19" t="s">
        <v>676</v>
      </c>
      <c r="I88" s="48" t="str">
        <f t="shared" si="5"/>
        <v/>
      </c>
      <c r="J88" s="49" t="str">
        <f t="shared" si="6"/>
        <v/>
      </c>
    </row>
    <row r="89" spans="1:10">
      <c r="A89" s="45"/>
      <c r="B89" s="45"/>
      <c r="C89" s="45"/>
      <c r="D89" s="20" t="s">
        <v>679</v>
      </c>
      <c r="E89" s="46"/>
      <c r="F89" s="30" t="s">
        <v>258</v>
      </c>
      <c r="G89" s="31" t="s">
        <v>274</v>
      </c>
      <c r="H89" s="19" t="s">
        <v>680</v>
      </c>
      <c r="I89" s="48" t="str">
        <f t="shared" si="5"/>
        <v/>
      </c>
      <c r="J89" s="49" t="str">
        <f t="shared" si="6"/>
        <v/>
      </c>
    </row>
    <row r="90" spans="1:10">
      <c r="A90" s="45"/>
      <c r="B90" s="45"/>
      <c r="C90" s="45"/>
      <c r="D90" s="20" t="s">
        <v>683</v>
      </c>
      <c r="E90" s="46"/>
      <c r="F90" s="30" t="s">
        <v>258</v>
      </c>
      <c r="G90" s="31" t="s">
        <v>274</v>
      </c>
      <c r="H90" s="19" t="s">
        <v>684</v>
      </c>
      <c r="I90" s="48" t="str">
        <f t="shared" si="5"/>
        <v/>
      </c>
      <c r="J90" s="49" t="str">
        <f t="shared" si="6"/>
        <v/>
      </c>
    </row>
    <row r="91" spans="1:10">
      <c r="A91" s="45"/>
      <c r="B91" s="45"/>
      <c r="C91" s="45"/>
      <c r="D91" s="20" t="s">
        <v>687</v>
      </c>
      <c r="E91" s="46"/>
      <c r="F91" s="30" t="s">
        <v>258</v>
      </c>
      <c r="G91" s="31" t="s">
        <v>274</v>
      </c>
      <c r="H91" s="19" t="s">
        <v>688</v>
      </c>
      <c r="I91" s="48" t="str">
        <f t="shared" si="5"/>
        <v/>
      </c>
      <c r="J91" s="49" t="str">
        <f t="shared" si="6"/>
        <v/>
      </c>
    </row>
    <row r="92" spans="1:10">
      <c r="A92" s="45"/>
      <c r="B92" s="45"/>
      <c r="C92" s="45"/>
      <c r="D92" s="20" t="s">
        <v>691</v>
      </c>
      <c r="E92" s="46"/>
      <c r="F92" s="30" t="s">
        <v>258</v>
      </c>
      <c r="G92" s="31" t="s">
        <v>274</v>
      </c>
      <c r="H92" s="19" t="s">
        <v>692</v>
      </c>
      <c r="I92" s="48" t="str">
        <f t="shared" si="5"/>
        <v/>
      </c>
      <c r="J92" s="49" t="str">
        <f t="shared" si="6"/>
        <v/>
      </c>
    </row>
    <row r="93" spans="1:10">
      <c r="A93" s="45"/>
      <c r="B93" s="45"/>
      <c r="C93" s="45"/>
      <c r="D93" s="20" t="s">
        <v>695</v>
      </c>
      <c r="E93" s="46"/>
      <c r="F93" s="30" t="s">
        <v>258</v>
      </c>
      <c r="G93" s="31" t="s">
        <v>274</v>
      </c>
      <c r="H93" s="19" t="s">
        <v>696</v>
      </c>
      <c r="I93" s="48" t="str">
        <f t="shared" si="5"/>
        <v/>
      </c>
      <c r="J93" s="49" t="str">
        <f t="shared" si="6"/>
        <v/>
      </c>
    </row>
    <row r="94" spans="1:10">
      <c r="A94" s="45"/>
      <c r="B94" s="45"/>
      <c r="C94" s="45"/>
      <c r="D94" s="20" t="s">
        <v>699</v>
      </c>
      <c r="E94" s="46"/>
      <c r="F94" s="30" t="s">
        <v>258</v>
      </c>
      <c r="G94" s="31" t="s">
        <v>274</v>
      </c>
      <c r="H94" s="19" t="s">
        <v>700</v>
      </c>
      <c r="I94" s="48" t="str">
        <f t="shared" si="5"/>
        <v/>
      </c>
      <c r="J94" s="49" t="str">
        <f t="shared" si="6"/>
        <v/>
      </c>
    </row>
    <row r="95" spans="1:10">
      <c r="A95" s="45"/>
      <c r="B95" s="45"/>
      <c r="C95" s="45"/>
      <c r="D95" s="20" t="s">
        <v>705</v>
      </c>
      <c r="E95" s="46"/>
      <c r="F95" s="30" t="s">
        <v>258</v>
      </c>
      <c r="G95" s="31" t="s">
        <v>274</v>
      </c>
      <c r="H95" s="19" t="s">
        <v>706</v>
      </c>
      <c r="I95" s="48" t="str">
        <f t="shared" si="5"/>
        <v/>
      </c>
      <c r="J95" s="49" t="str">
        <f t="shared" si="6"/>
        <v/>
      </c>
    </row>
    <row r="96" spans="1:10">
      <c r="A96" s="45"/>
      <c r="B96" s="45"/>
      <c r="C96" s="45"/>
      <c r="D96" s="20" t="s">
        <v>709</v>
      </c>
      <c r="E96" s="46"/>
      <c r="F96" s="30" t="s">
        <v>258</v>
      </c>
      <c r="G96" s="31" t="s">
        <v>274</v>
      </c>
      <c r="H96" s="19" t="s">
        <v>710</v>
      </c>
      <c r="I96" s="48" t="str">
        <f t="shared" si="5"/>
        <v/>
      </c>
      <c r="J96" s="49" t="str">
        <f t="shared" si="6"/>
        <v/>
      </c>
    </row>
    <row r="97" spans="1:11">
      <c r="A97" s="45"/>
      <c r="B97" s="45"/>
      <c r="C97" s="45"/>
      <c r="D97" s="17"/>
      <c r="E97" s="50"/>
      <c r="F97" s="30" t="s">
        <v>258</v>
      </c>
      <c r="G97" s="17"/>
      <c r="H97" s="51"/>
      <c r="I97" s="48" t="str">
        <f t="shared" si="5"/>
        <v/>
      </c>
      <c r="J97" s="49" t="str">
        <f t="shared" si="6"/>
        <v/>
      </c>
    </row>
    <row r="98" spans="1:11">
      <c r="A98" s="45"/>
      <c r="B98" s="45"/>
      <c r="C98" s="45"/>
      <c r="D98" s="17"/>
      <c r="E98" s="50"/>
      <c r="F98" s="30" t="s">
        <v>258</v>
      </c>
      <c r="G98" s="17"/>
      <c r="H98" s="51"/>
      <c r="I98" s="48" t="str">
        <f t="shared" si="5"/>
        <v/>
      </c>
      <c r="J98" s="49" t="str">
        <f t="shared" si="6"/>
        <v/>
      </c>
    </row>
    <row r="99" spans="1:11">
      <c r="A99" s="45"/>
      <c r="B99" s="45"/>
      <c r="C99" s="45"/>
      <c r="D99" s="17"/>
      <c r="E99" s="50"/>
      <c r="F99" s="30" t="s">
        <v>258</v>
      </c>
      <c r="G99" s="17"/>
      <c r="H99" s="51"/>
      <c r="I99" s="48" t="str">
        <f t="shared" si="5"/>
        <v/>
      </c>
      <c r="J99" s="49" t="str">
        <f t="shared" si="6"/>
        <v/>
      </c>
    </row>
    <row r="100" spans="1:11">
      <c r="A100" s="45"/>
      <c r="B100" s="45"/>
      <c r="C100" s="45"/>
      <c r="D100" s="17"/>
      <c r="E100" s="50"/>
      <c r="F100" s="30" t="s">
        <v>258</v>
      </c>
      <c r="G100" s="17"/>
      <c r="H100" s="51"/>
      <c r="I100" s="48" t="str">
        <f t="shared" si="5"/>
        <v/>
      </c>
      <c r="J100" s="49" t="str">
        <f t="shared" si="6"/>
        <v/>
      </c>
    </row>
    <row r="101" spans="1:11" ht="37.5" customHeight="1">
      <c r="A101" s="892" t="s">
        <v>764</v>
      </c>
      <c r="B101" s="893"/>
      <c r="C101" s="893"/>
      <c r="D101" s="893"/>
      <c r="E101" s="62">
        <f>SUM(EQUIPMENT_Cost_by_System)</f>
        <v>0</v>
      </c>
      <c r="F101" s="887" t="str" cm="1">
        <f t="array" ref="F101">_xlfn.TEXTJOIN(", ",TRUE,IF(EQUIPMENT_Qnt="","",EQUIPMENT_System_Name_NO_Release))</f>
        <v/>
      </c>
      <c r="G101" s="887" t="str" cm="1">
        <f t="array" ref="G101">_xlfn.TEXTJOIN(", ",TRUE,IF(EQUIPMENT_Qnt="","",EQUIPMENT_System_Name_Release_qnt))</f>
        <v/>
      </c>
      <c r="H101" s="887"/>
      <c r="I101" s="888"/>
      <c r="J101" s="889"/>
    </row>
    <row r="102" spans="1:11" ht="37.5" customHeight="1">
      <c r="A102" s="67">
        <f>SUM(EQUIPMENT_Qnt)</f>
        <v>0</v>
      </c>
      <c r="B102" s="67"/>
      <c r="C102" s="67"/>
      <c r="D102" s="40" t="s">
        <v>274</v>
      </c>
      <c r="E102" s="68">
        <f>SUM(EQUIPMENT_Cost_by_System)</f>
        <v>0</v>
      </c>
      <c r="F102" s="887"/>
      <c r="G102" s="887"/>
      <c r="H102" s="887"/>
      <c r="I102" s="890"/>
      <c r="J102" s="891"/>
    </row>
    <row r="103" spans="1:11" ht="37.5">
      <c r="A103" s="69" t="s">
        <v>765</v>
      </c>
      <c r="B103" s="69"/>
      <c r="C103" s="69"/>
      <c r="D103" s="69" t="s">
        <v>766</v>
      </c>
      <c r="E103" s="69" t="s">
        <v>767</v>
      </c>
      <c r="F103" s="69" t="s">
        <v>768</v>
      </c>
      <c r="G103" s="69" t="s">
        <v>769</v>
      </c>
      <c r="H103" s="69" t="s">
        <v>770</v>
      </c>
      <c r="I103" s="70" t="s">
        <v>771</v>
      </c>
      <c r="J103" s="70" t="s">
        <v>772</v>
      </c>
      <c r="K103" s="69" t="s">
        <v>773</v>
      </c>
    </row>
    <row r="104" spans="1:11">
      <c r="A104" s="45"/>
      <c r="B104" s="45"/>
      <c r="C104" s="45"/>
      <c r="D104" s="17"/>
      <c r="E104" s="50">
        <f>+A104*K104</f>
        <v>0</v>
      </c>
      <c r="F104" s="71" t="s">
        <v>262</v>
      </c>
      <c r="G104" s="17" t="s">
        <v>774</v>
      </c>
      <c r="H104" s="51" t="s">
        <v>775</v>
      </c>
      <c r="I104" s="48" t="str">
        <f t="shared" ref="I104:I117" si="7">IF(ISBLANK(A104),"",CONCATENATE(H104))</f>
        <v/>
      </c>
      <c r="J104" s="49" t="str">
        <f>IF(ISBLANK(A104),"",CONCATENATE(H104," (",ROUNDUP(A104,0)," ",G104,")"))</f>
        <v/>
      </c>
      <c r="K104" s="72">
        <v>750</v>
      </c>
    </row>
    <row r="105" spans="1:11">
      <c r="A105" s="45"/>
      <c r="B105" s="45"/>
      <c r="C105" s="45"/>
      <c r="D105" s="17"/>
      <c r="E105" s="50">
        <f t="shared" ref="E105:E117" si="8">+A105*K105</f>
        <v>0</v>
      </c>
      <c r="F105" s="71" t="s">
        <v>262</v>
      </c>
      <c r="G105" s="17" t="s">
        <v>776</v>
      </c>
      <c r="H105" s="51" t="s">
        <v>777</v>
      </c>
      <c r="I105" s="48" t="str">
        <f t="shared" si="7"/>
        <v/>
      </c>
      <c r="J105" s="49" t="str">
        <f t="shared" ref="J105:J117" si="9">IF(ISBLANK(A105),"",CONCATENATE(H105," (",ROUNDUP(A105,0)," ",G105,")"))</f>
        <v/>
      </c>
      <c r="K105" s="72">
        <v>1000</v>
      </c>
    </row>
    <row r="106" spans="1:11">
      <c r="A106" s="45"/>
      <c r="B106" s="45"/>
      <c r="C106" s="45"/>
      <c r="D106" s="17"/>
      <c r="E106" s="50">
        <f t="shared" si="8"/>
        <v>0</v>
      </c>
      <c r="F106" s="71" t="s">
        <v>262</v>
      </c>
      <c r="G106" s="17" t="s">
        <v>774</v>
      </c>
      <c r="H106" s="51" t="s">
        <v>778</v>
      </c>
      <c r="I106" s="48" t="str">
        <f t="shared" si="7"/>
        <v/>
      </c>
      <c r="J106" s="49" t="str">
        <f t="shared" si="9"/>
        <v/>
      </c>
      <c r="K106" s="72">
        <v>2000</v>
      </c>
    </row>
    <row r="107" spans="1:11">
      <c r="A107" s="45"/>
      <c r="B107" s="45"/>
      <c r="C107" s="45"/>
      <c r="D107" s="17"/>
      <c r="E107" s="50">
        <f t="shared" si="8"/>
        <v>0</v>
      </c>
      <c r="F107" s="71" t="s">
        <v>262</v>
      </c>
      <c r="G107" s="17" t="s">
        <v>779</v>
      </c>
      <c r="H107" s="51" t="s">
        <v>780</v>
      </c>
      <c r="I107" s="48" t="str">
        <f t="shared" si="7"/>
        <v/>
      </c>
      <c r="J107" s="49" t="str">
        <f t="shared" si="9"/>
        <v/>
      </c>
      <c r="K107" s="72">
        <v>150</v>
      </c>
    </row>
    <row r="108" spans="1:11">
      <c r="A108" s="45"/>
      <c r="B108" s="45"/>
      <c r="C108" s="45"/>
      <c r="D108" s="17"/>
      <c r="E108" s="50">
        <f t="shared" si="8"/>
        <v>0</v>
      </c>
      <c r="F108" s="71" t="s">
        <v>262</v>
      </c>
      <c r="G108" s="17" t="s">
        <v>774</v>
      </c>
      <c r="H108" s="51" t="s">
        <v>781</v>
      </c>
      <c r="I108" s="48" t="str">
        <f t="shared" si="7"/>
        <v/>
      </c>
      <c r="J108" s="49" t="str">
        <f t="shared" si="9"/>
        <v/>
      </c>
      <c r="K108" s="72">
        <v>7500</v>
      </c>
    </row>
    <row r="109" spans="1:11">
      <c r="A109" s="45"/>
      <c r="B109" s="45"/>
      <c r="C109" s="45"/>
      <c r="D109" s="17"/>
      <c r="E109" s="50">
        <f t="shared" si="8"/>
        <v>0</v>
      </c>
      <c r="F109" s="71" t="s">
        <v>262</v>
      </c>
      <c r="G109" s="17" t="s">
        <v>774</v>
      </c>
      <c r="H109" s="51" t="s">
        <v>782</v>
      </c>
      <c r="I109" s="48" t="str">
        <f t="shared" si="7"/>
        <v/>
      </c>
      <c r="J109" s="49" t="str">
        <f t="shared" si="9"/>
        <v/>
      </c>
      <c r="K109" s="72">
        <v>750</v>
      </c>
    </row>
    <row r="110" spans="1:11">
      <c r="A110" s="45"/>
      <c r="B110" s="45"/>
      <c r="C110" s="45"/>
      <c r="D110" s="17"/>
      <c r="E110" s="50">
        <f t="shared" si="8"/>
        <v>0</v>
      </c>
      <c r="F110" s="71" t="s">
        <v>262</v>
      </c>
      <c r="G110" s="17" t="s">
        <v>774</v>
      </c>
      <c r="H110" s="51" t="s">
        <v>783</v>
      </c>
      <c r="I110" s="48" t="str">
        <f t="shared" si="7"/>
        <v/>
      </c>
      <c r="J110" s="49" t="str">
        <f t="shared" si="9"/>
        <v/>
      </c>
      <c r="K110" s="72">
        <v>15000</v>
      </c>
    </row>
    <row r="111" spans="1:11">
      <c r="A111" s="45"/>
      <c r="B111" s="45"/>
      <c r="C111" s="45"/>
      <c r="D111" s="17"/>
      <c r="E111" s="50">
        <f t="shared" si="8"/>
        <v>0</v>
      </c>
      <c r="F111" s="71" t="s">
        <v>262</v>
      </c>
      <c r="G111" s="17" t="s">
        <v>774</v>
      </c>
      <c r="H111" s="51" t="s">
        <v>784</v>
      </c>
      <c r="I111" s="48" t="str">
        <f t="shared" si="7"/>
        <v/>
      </c>
      <c r="J111" s="49" t="str">
        <f t="shared" si="9"/>
        <v/>
      </c>
      <c r="K111" s="72">
        <v>5000</v>
      </c>
    </row>
    <row r="112" spans="1:11">
      <c r="A112" s="45"/>
      <c r="B112" s="45"/>
      <c r="C112" s="45"/>
      <c r="D112" s="17"/>
      <c r="E112" s="50">
        <f t="shared" si="8"/>
        <v>0</v>
      </c>
      <c r="F112" s="71" t="s">
        <v>262</v>
      </c>
      <c r="G112" s="17" t="s">
        <v>774</v>
      </c>
      <c r="H112" s="51" t="s">
        <v>785</v>
      </c>
      <c r="I112" s="48" t="str">
        <f t="shared" si="7"/>
        <v/>
      </c>
      <c r="J112" s="49" t="str">
        <f t="shared" si="9"/>
        <v/>
      </c>
      <c r="K112" s="72">
        <v>150</v>
      </c>
    </row>
    <row r="113" spans="1:12">
      <c r="A113" s="45"/>
      <c r="B113" s="45"/>
      <c r="C113" s="45"/>
      <c r="D113" s="17"/>
      <c r="E113" s="50">
        <f t="shared" si="8"/>
        <v>0</v>
      </c>
      <c r="F113" s="71" t="s">
        <v>262</v>
      </c>
      <c r="G113" s="17" t="s">
        <v>774</v>
      </c>
      <c r="H113" s="51" t="s">
        <v>786</v>
      </c>
      <c r="I113" s="48" t="str">
        <f t="shared" si="7"/>
        <v/>
      </c>
      <c r="J113" s="49" t="str">
        <f t="shared" si="9"/>
        <v/>
      </c>
      <c r="K113" s="72">
        <f>+K104</f>
        <v>750</v>
      </c>
    </row>
    <row r="114" spans="1:12">
      <c r="A114" s="45"/>
      <c r="B114" s="45"/>
      <c r="C114" s="45"/>
      <c r="D114" s="17"/>
      <c r="E114" s="50">
        <f t="shared" si="8"/>
        <v>0</v>
      </c>
      <c r="F114" s="71" t="s">
        <v>262</v>
      </c>
      <c r="G114" s="17"/>
      <c r="H114" s="51"/>
      <c r="I114" s="48" t="str">
        <f t="shared" si="7"/>
        <v/>
      </c>
      <c r="J114" s="49" t="str">
        <f t="shared" si="9"/>
        <v/>
      </c>
      <c r="K114" s="72"/>
    </row>
    <row r="115" spans="1:12">
      <c r="A115" s="45"/>
      <c r="B115" s="45"/>
      <c r="C115" s="45"/>
      <c r="D115" s="17"/>
      <c r="E115" s="50">
        <f t="shared" si="8"/>
        <v>0</v>
      </c>
      <c r="F115" s="71" t="s">
        <v>262</v>
      </c>
      <c r="G115" s="17"/>
      <c r="H115" s="51"/>
      <c r="I115" s="48" t="str">
        <f t="shared" si="7"/>
        <v/>
      </c>
      <c r="J115" s="49" t="str">
        <f t="shared" si="9"/>
        <v/>
      </c>
      <c r="K115" s="72"/>
    </row>
    <row r="116" spans="1:12">
      <c r="A116" s="45"/>
      <c r="B116" s="45"/>
      <c r="C116" s="45"/>
      <c r="D116" s="17"/>
      <c r="E116" s="50">
        <f t="shared" si="8"/>
        <v>0</v>
      </c>
      <c r="F116" s="71" t="s">
        <v>262</v>
      </c>
      <c r="G116" s="17"/>
      <c r="H116" s="51"/>
      <c r="I116" s="48" t="str">
        <f t="shared" si="7"/>
        <v/>
      </c>
      <c r="J116" s="49" t="str">
        <f t="shared" si="9"/>
        <v/>
      </c>
      <c r="K116" s="72"/>
    </row>
    <row r="117" spans="1:12">
      <c r="A117" s="45"/>
      <c r="B117" s="45"/>
      <c r="C117" s="45"/>
      <c r="D117" s="17"/>
      <c r="E117" s="50">
        <f t="shared" si="8"/>
        <v>0</v>
      </c>
      <c r="F117" s="71" t="s">
        <v>262</v>
      </c>
      <c r="G117" s="17"/>
      <c r="H117" s="51"/>
      <c r="I117" s="48" t="str">
        <f t="shared" si="7"/>
        <v/>
      </c>
      <c r="J117" s="49" t="str">
        <f t="shared" si="9"/>
        <v/>
      </c>
      <c r="K117" s="72"/>
    </row>
    <row r="118" spans="1:12" ht="26.25" customHeight="1">
      <c r="A118" s="872" t="s">
        <v>787</v>
      </c>
      <c r="B118" s="873"/>
      <c r="C118" s="873"/>
      <c r="D118" s="873"/>
      <c r="E118" s="62" t="e">
        <f>ROUND(+SUM(E124:E125),0)</f>
        <v>#NAME?</v>
      </c>
      <c r="F118" s="874" t="e">
        <f>CONCATENATE("VRF - The total amount of VRF piping to be insulated is: ",VRF_Quantity,"  LF - of which ~ ",H121,"% gets additional covered in PVC or Metal Jacketing.", E122,"Additional Cost per LF is: $",H122," per LF - As part of any subcontract the total LF of VRF piping must be enumerated.   ","The basis of our quantities is: ",D121,"Insulation to be: ",D127)</f>
        <v>#NAME?</v>
      </c>
      <c r="G118" s="875"/>
      <c r="H118" s="876"/>
    </row>
    <row r="119" spans="1:12" ht="59.25" customHeight="1">
      <c r="A119" s="67">
        <f>+VRF_Quantity</f>
        <v>0</v>
      </c>
      <c r="B119" s="67"/>
      <c r="C119" s="67"/>
      <c r="D119" s="40" t="s">
        <v>273</v>
      </c>
      <c r="E119" s="68" t="e">
        <f>+SUM(E124:E125)</f>
        <v>#NAME?</v>
      </c>
      <c r="F119" s="877"/>
      <c r="G119" s="878"/>
      <c r="H119" s="879"/>
    </row>
    <row r="120" spans="1:12" ht="18.75">
      <c r="A120" s="860" t="s">
        <v>788</v>
      </c>
      <c r="B120" s="861"/>
      <c r="C120" s="861"/>
      <c r="D120" s="862"/>
      <c r="E120" s="73"/>
      <c r="F120" s="860" t="s">
        <v>789</v>
      </c>
      <c r="G120" s="862"/>
      <c r="H120" s="73">
        <f>IF(E122='VRF and Lists'!H4,200,150)</f>
        <v>200</v>
      </c>
    </row>
    <row r="121" spans="1:12" ht="36" customHeight="1">
      <c r="A121" s="74" t="s">
        <v>790</v>
      </c>
      <c r="B121" s="75"/>
      <c r="C121" s="75"/>
      <c r="D121" s="880" t="s">
        <v>791</v>
      </c>
      <c r="E121" s="881"/>
      <c r="F121" s="882" t="s">
        <v>792</v>
      </c>
      <c r="G121" s="883"/>
      <c r="H121" s="76">
        <v>0.2</v>
      </c>
    </row>
    <row r="122" spans="1:12" ht="37.5" customHeight="1">
      <c r="A122" s="860" t="s">
        <v>793</v>
      </c>
      <c r="B122" s="861"/>
      <c r="C122" s="861"/>
      <c r="D122" s="862"/>
      <c r="E122" s="77" t="s">
        <v>794</v>
      </c>
      <c r="F122" s="860" t="s">
        <v>795</v>
      </c>
      <c r="G122" s="862"/>
      <c r="H122" s="78" t="e">
        <f>_xlfn.XLOOKUP(D127,VRF_Thickness,VRF_Pricing)</f>
        <v>#NAME?</v>
      </c>
    </row>
    <row r="123" spans="1:12" ht="18.75">
      <c r="A123" s="45" t="s">
        <v>796</v>
      </c>
      <c r="B123" s="45"/>
      <c r="C123" s="45"/>
      <c r="D123" s="79">
        <f>+E120*H120</f>
        <v>0</v>
      </c>
      <c r="E123" s="50"/>
      <c r="F123" s="860" t="s">
        <v>797</v>
      </c>
      <c r="G123" s="862"/>
      <c r="H123" s="78" t="e">
        <f>_xlfn.XLOOKUP(D127,VRF_Thickness,VRF_Covered)</f>
        <v>#NAME?</v>
      </c>
      <c r="L123" s="80"/>
    </row>
    <row r="124" spans="1:12">
      <c r="A124" s="45" t="s">
        <v>798</v>
      </c>
      <c r="B124" s="45"/>
      <c r="C124" s="45"/>
      <c r="D124" s="81">
        <f>VRF_Quantity*(1-H121)</f>
        <v>0</v>
      </c>
      <c r="E124" s="50" t="e">
        <f>ROUND(+D124*H122,0)</f>
        <v>#NAME?</v>
      </c>
      <c r="F124" s="863"/>
      <c r="G124" s="864"/>
      <c r="H124" s="865"/>
      <c r="L124" s="80"/>
    </row>
    <row r="125" spans="1:12">
      <c r="A125" s="45" t="s">
        <v>799</v>
      </c>
      <c r="B125" s="45"/>
      <c r="C125" s="45"/>
      <c r="D125" s="81">
        <f>+VRF_Quantity*(H121)</f>
        <v>0</v>
      </c>
      <c r="E125" s="50" t="e">
        <f>ROUND(+D125*H123,0)</f>
        <v>#NAME?</v>
      </c>
      <c r="F125" s="866"/>
      <c r="G125" s="867"/>
      <c r="H125" s="868"/>
    </row>
    <row r="126" spans="1:12">
      <c r="A126" s="45" t="s">
        <v>800</v>
      </c>
      <c r="B126" s="82"/>
      <c r="C126" s="82"/>
      <c r="D126" s="918" t="s">
        <v>801</v>
      </c>
      <c r="E126" s="919"/>
      <c r="F126" s="866"/>
      <c r="G126" s="867"/>
      <c r="H126" s="868"/>
    </row>
    <row r="127" spans="1:12">
      <c r="A127" s="45" t="s">
        <v>398</v>
      </c>
      <c r="B127" s="82"/>
      <c r="C127" s="82"/>
      <c r="D127" s="920" t="s">
        <v>802</v>
      </c>
      <c r="E127" s="921"/>
      <c r="F127" s="869"/>
      <c r="G127" s="870"/>
      <c r="H127" s="871"/>
    </row>
  </sheetData>
  <mergeCells count="32">
    <mergeCell ref="A41:D41"/>
    <mergeCell ref="F41:F42"/>
    <mergeCell ref="G41:G42"/>
    <mergeCell ref="H41:H42"/>
    <mergeCell ref="I41:J42"/>
    <mergeCell ref="A1:D1"/>
    <mergeCell ref="F1:F2"/>
    <mergeCell ref="G1:G2"/>
    <mergeCell ref="H1:H2"/>
    <mergeCell ref="I1:J2"/>
    <mergeCell ref="A101:D101"/>
    <mergeCell ref="F101:F102"/>
    <mergeCell ref="G101:G102"/>
    <mergeCell ref="H101:H102"/>
    <mergeCell ref="I101:J102"/>
    <mergeCell ref="A74:D74"/>
    <mergeCell ref="F74:F75"/>
    <mergeCell ref="G74:G75"/>
    <mergeCell ref="H74:H75"/>
    <mergeCell ref="I74:J75"/>
    <mergeCell ref="A118:D118"/>
    <mergeCell ref="F118:H119"/>
    <mergeCell ref="A120:D120"/>
    <mergeCell ref="F120:G120"/>
    <mergeCell ref="D121:E121"/>
    <mergeCell ref="F121:G121"/>
    <mergeCell ref="A122:D122"/>
    <mergeCell ref="F122:G122"/>
    <mergeCell ref="F123:G123"/>
    <mergeCell ref="F124:H127"/>
    <mergeCell ref="D126:E126"/>
    <mergeCell ref="D127:E127"/>
  </mergeCells>
  <conditionalFormatting sqref="A4:C40 A44:C73 A77:C100 A104:C117 A122:C122 F122:F123 D124:D125 A126:C127">
    <cfRule type="cellIs" dxfId="7" priority="2" operator="greaterThan">
      <formula>0</formula>
    </cfRule>
  </conditionalFormatting>
  <conditionalFormatting sqref="E6">
    <cfRule type="expression" dxfId="6" priority="1">
      <formula>_xludf.if+$A$6&gt;0</formula>
    </cfRule>
  </conditionalFormatting>
  <dataValidations count="7">
    <dataValidation type="list" allowBlank="1" showInputMessage="1" showErrorMessage="1" sqref="D121" xr:uid="{B3B4538A-85FC-41C1-824A-E96967324E46}">
      <formula1>VRF_Method_of_determining_scope</formula1>
    </dataValidation>
    <dataValidation type="list" allowBlank="1" showInputMessage="1" showErrorMessage="1" sqref="D127" xr:uid="{F224E21B-B0D4-4133-8DA6-A9FAFCBEDB3E}">
      <formula1>VRF_Thickness</formula1>
    </dataValidation>
    <dataValidation type="list" allowBlank="1" showInputMessage="1" showErrorMessage="1" sqref="D126:E126" xr:uid="{F6D235E9-DDDF-4BAF-8F17-6574B64644F9}">
      <formula1>VRF_Manufacturers</formula1>
    </dataValidation>
    <dataValidation type="list" allowBlank="1" showInputMessage="1" showErrorMessage="1" sqref="E122" xr:uid="{8E8CB65A-67D5-4F76-AB38-F93BD172FE01}">
      <formula1>VRF_List</formula1>
    </dataValidation>
    <dataValidation type="list" allowBlank="1" showInputMessage="1" showErrorMessage="1" sqref="H121" xr:uid="{48803F6C-E7D7-43E0-AD6A-2CCDDA0208B5}">
      <formula1>Percentages</formula1>
    </dataValidation>
    <dataValidation type="list" allowBlank="1" showInputMessage="1" showErrorMessage="1" sqref="E123" xr:uid="{5E3640AB-FD0C-497C-8AFE-9BE62EAC4E65}">
      <formula1>List</formula1>
    </dataValidation>
    <dataValidation type="list" allowBlank="1" showInputMessage="1" showErrorMessage="1" sqref="F4:F40 F44:F73" xr:uid="{D41575C0-36DD-44AE-AB7C-26573A2968D5}">
      <formula1>Mechanical_System</formula1>
    </dataValidation>
  </dataValidations>
  <pageMargins left="0.7" right="0.7" top="0.75" bottom="0.75" header="0.3" footer="0.3"/>
  <pageSetup scale="2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52D7-7FED-4B3C-AF4D-1CC30F173DB0}">
  <sheetPr>
    <tabColor rgb="FF00B050"/>
    <pageSetUpPr fitToPage="1"/>
  </sheetPr>
  <dimension ref="A1:G40"/>
  <sheetViews>
    <sheetView topLeftCell="A17" zoomScale="70" zoomScaleNormal="70" workbookViewId="0">
      <selection activeCell="G18" sqref="G18"/>
    </sheetView>
  </sheetViews>
  <sheetFormatPr defaultColWidth="10" defaultRowHeight="15.75" outlineLevelRow="1"/>
  <cols>
    <col min="1" max="1" width="9.5703125" style="86" customWidth="1"/>
    <col min="2" max="2" width="90.28515625" style="86" customWidth="1"/>
    <col min="3" max="6" width="10" style="86"/>
    <col min="7" max="7" width="23.28515625" style="86" customWidth="1"/>
    <col min="8" max="16384" width="10" style="86"/>
  </cols>
  <sheetData>
    <row r="1" spans="1:7" ht="31.5">
      <c r="A1" s="546" t="s">
        <v>803</v>
      </c>
      <c r="B1" s="85"/>
      <c r="C1" s="901" t="s">
        <v>804</v>
      </c>
      <c r="D1" s="902"/>
      <c r="E1" s="903" t="e">
        <f>+Company_Selected</f>
        <v>#REF!</v>
      </c>
      <c r="F1" s="903"/>
      <c r="G1" s="903"/>
    </row>
    <row r="2" spans="1:7" ht="18.75">
      <c r="A2" s="87" t="s">
        <v>805</v>
      </c>
      <c r="B2" s="88" t="e">
        <f>+Bid_From</f>
        <v>#NAME?</v>
      </c>
      <c r="C2" s="901" t="s">
        <v>806</v>
      </c>
      <c r="D2" s="902"/>
      <c r="E2" s="903" t="str">
        <f>+'Base Bid'!D1</f>
        <v xml:space="preserve">SCU Replacement Basement to 6th Floor, East &amp; West </v>
      </c>
      <c r="F2" s="903"/>
      <c r="G2" s="903"/>
    </row>
    <row r="3" spans="1:7">
      <c r="B3" s="86" t="s">
        <v>807</v>
      </c>
    </row>
    <row r="4" spans="1:7">
      <c r="B4" s="86" t="s">
        <v>808</v>
      </c>
    </row>
    <row r="5" spans="1:7">
      <c r="B5" s="86" t="s">
        <v>809</v>
      </c>
    </row>
    <row r="6" spans="1:7" ht="16.5" thickBot="1">
      <c r="B6" s="86" t="s">
        <v>810</v>
      </c>
    </row>
    <row r="7" spans="1:7" ht="27.75" thickTop="1" thickBot="1">
      <c r="A7" s="89"/>
      <c r="B7" s="86" t="s">
        <v>811</v>
      </c>
      <c r="D7" s="90"/>
      <c r="E7" s="90"/>
      <c r="F7" s="90"/>
      <c r="G7" s="91" t="s">
        <v>343</v>
      </c>
    </row>
    <row r="8" spans="1:7" ht="27" thickTop="1">
      <c r="A8" s="92" t="s">
        <v>812</v>
      </c>
      <c r="B8" s="93"/>
      <c r="C8" s="93"/>
      <c r="D8" s="93"/>
      <c r="E8" s="93"/>
      <c r="F8" s="93"/>
      <c r="G8" s="94">
        <f>+Duct_Price</f>
        <v>0</v>
      </c>
    </row>
    <row r="9" spans="1:7" ht="41.25" customHeight="1" thickBot="1">
      <c r="A9" s="899" t="s">
        <v>813</v>
      </c>
      <c r="B9" s="899"/>
      <c r="C9" s="899"/>
      <c r="D9" s="899"/>
      <c r="E9" s="899"/>
      <c r="F9" s="899"/>
      <c r="G9" s="899"/>
    </row>
    <row r="10" spans="1:7" ht="27" thickTop="1">
      <c r="A10" s="92" t="s">
        <v>814</v>
      </c>
      <c r="B10" s="93"/>
      <c r="C10" s="93"/>
      <c r="D10" s="93"/>
      <c r="E10" s="93"/>
      <c r="F10" s="93"/>
      <c r="G10" s="95">
        <f>+Hyrdonic_Price</f>
        <v>0</v>
      </c>
    </row>
    <row r="11" spans="1:7" ht="61.5" customHeight="1" thickBot="1">
      <c r="A11" s="899" t="str">
        <f>+'Quantites and Price from Mike'!G1</f>
        <v/>
      </c>
      <c r="B11" s="899"/>
      <c r="C11" s="899"/>
      <c r="D11" s="899"/>
      <c r="E11" s="899"/>
      <c r="F11" s="899"/>
      <c r="G11" s="899"/>
    </row>
    <row r="12" spans="1:7" ht="17.25" thickTop="1" thickBot="1">
      <c r="A12" s="96"/>
      <c r="B12" s="96"/>
      <c r="C12" s="96"/>
      <c r="D12" s="96"/>
      <c r="E12" s="96"/>
      <c r="F12" s="96"/>
      <c r="G12" s="96"/>
    </row>
    <row r="13" spans="1:7" ht="27" thickTop="1">
      <c r="A13" s="92" t="s">
        <v>815</v>
      </c>
      <c r="B13" s="93"/>
      <c r="C13" s="93"/>
      <c r="D13" s="93"/>
      <c r="E13" s="93"/>
      <c r="F13" s="93"/>
      <c r="G13" s="94">
        <f>+Plumbing_Price</f>
        <v>1000</v>
      </c>
    </row>
    <row r="14" spans="1:7" ht="51.75" customHeight="1" thickBot="1">
      <c r="A14" s="899" t="s">
        <v>816</v>
      </c>
      <c r="B14" s="899"/>
      <c r="C14" s="899"/>
      <c r="D14" s="899"/>
      <c r="E14" s="899"/>
      <c r="F14" s="899"/>
      <c r="G14" s="899"/>
    </row>
    <row r="15" spans="1:7" ht="17.25" thickTop="1" thickBot="1">
      <c r="A15" s="96"/>
      <c r="B15" s="96"/>
      <c r="C15" s="96"/>
      <c r="D15" s="96"/>
      <c r="E15" s="96"/>
      <c r="F15" s="96"/>
      <c r="G15" s="96"/>
    </row>
    <row r="16" spans="1:7" ht="27" outlineLevel="1" thickTop="1">
      <c r="A16" s="92" t="e">
        <f>IF(VRF_Price=0,"","VRF SOW (Mechanical Insulation):")</f>
        <v>#NAME?</v>
      </c>
      <c r="B16" s="93"/>
      <c r="C16" s="93"/>
      <c r="D16" s="93"/>
      <c r="E16" s="93"/>
      <c r="F16" s="93"/>
      <c r="G16" s="94" t="e">
        <f>+VRF_Price</f>
        <v>#NAME?</v>
      </c>
    </row>
    <row r="17" spans="1:7" ht="152.25" customHeight="1" outlineLevel="1" thickBot="1">
      <c r="A17" s="899" t="str">
        <f>IF(VRF_Quantity=0,"",VRF_SOW)</f>
        <v/>
      </c>
      <c r="B17" s="899"/>
      <c r="C17" s="899"/>
      <c r="D17" s="899"/>
      <c r="E17" s="899"/>
      <c r="F17" s="899"/>
      <c r="G17" s="899"/>
    </row>
    <row r="18" spans="1:7" ht="17.25" thickTop="1" thickBot="1">
      <c r="A18" s="96"/>
      <c r="B18" s="96"/>
      <c r="C18" s="96"/>
      <c r="D18" s="96"/>
      <c r="E18" s="96"/>
      <c r="F18" s="96"/>
      <c r="G18" s="96"/>
    </row>
    <row r="19" spans="1:7" ht="27" thickTop="1">
      <c r="A19" s="92" t="s">
        <v>817</v>
      </c>
      <c r="B19" s="93"/>
      <c r="C19" s="93"/>
      <c r="D19" s="93"/>
      <c r="E19" s="93"/>
      <c r="F19" s="93"/>
      <c r="G19" s="94">
        <f>+Equipment_Price</f>
        <v>0</v>
      </c>
    </row>
    <row r="20" spans="1:7" ht="44.25" customHeight="1" thickBot="1">
      <c r="A20" s="899" t="s">
        <v>818</v>
      </c>
      <c r="B20" s="899"/>
      <c r="C20" s="899"/>
      <c r="D20" s="899"/>
      <c r="E20" s="899"/>
      <c r="F20" s="899"/>
      <c r="G20" s="899"/>
    </row>
    <row r="21" spans="1:7" ht="27" outlineLevel="1" thickTop="1">
      <c r="A21" s="92" t="s">
        <v>819</v>
      </c>
      <c r="B21" s="93"/>
      <c r="C21" s="93"/>
      <c r="D21" s="93"/>
      <c r="E21" s="93"/>
      <c r="F21" s="93"/>
      <c r="G21" s="95">
        <f>SUM(F23:F27)</f>
        <v>-2500</v>
      </c>
    </row>
    <row r="22" spans="1:7" ht="25.5" outlineLevel="1">
      <c r="A22" s="97" t="s">
        <v>820</v>
      </c>
      <c r="B22" s="98" t="s">
        <v>821</v>
      </c>
      <c r="C22" s="99" t="s">
        <v>303</v>
      </c>
      <c r="D22" s="99" t="s">
        <v>395</v>
      </c>
      <c r="E22" s="99" t="s">
        <v>822</v>
      </c>
      <c r="F22" s="99" t="s">
        <v>304</v>
      </c>
    </row>
    <row r="23" spans="1:7" ht="23.25" customHeight="1" outlineLevel="1">
      <c r="A23" s="100">
        <v>1</v>
      </c>
      <c r="B23" s="101" t="s">
        <v>823</v>
      </c>
      <c r="C23" s="102">
        <v>500</v>
      </c>
      <c r="D23" s="102" t="s">
        <v>824</v>
      </c>
      <c r="E23" s="103">
        <v>5</v>
      </c>
      <c r="F23" s="103">
        <f>IF(C23="","",C23*E23)</f>
        <v>2500</v>
      </c>
    </row>
    <row r="24" spans="1:7" ht="23.25" customHeight="1" outlineLevel="1">
      <c r="A24" s="100">
        <v>2</v>
      </c>
      <c r="B24" s="101" t="s">
        <v>825</v>
      </c>
      <c r="C24" s="102">
        <v>1</v>
      </c>
      <c r="D24" s="102" t="s">
        <v>826</v>
      </c>
      <c r="E24" s="103">
        <v>-5000</v>
      </c>
      <c r="F24" s="103">
        <f t="shared" ref="F24:F27" si="0">IF(C24="","",C24*E24)</f>
        <v>-5000</v>
      </c>
    </row>
    <row r="25" spans="1:7" ht="23.25" customHeight="1" outlineLevel="1">
      <c r="A25" s="100"/>
      <c r="B25" s="101"/>
      <c r="C25" s="102"/>
      <c r="D25" s="102"/>
      <c r="E25" s="103"/>
      <c r="F25" s="103" t="str">
        <f t="shared" si="0"/>
        <v/>
      </c>
    </row>
    <row r="26" spans="1:7" ht="23.25" customHeight="1" outlineLevel="1">
      <c r="A26" s="100"/>
      <c r="B26" s="101"/>
      <c r="C26" s="102"/>
      <c r="D26" s="102"/>
      <c r="E26" s="103"/>
      <c r="F26" s="103" t="str">
        <f t="shared" si="0"/>
        <v/>
      </c>
    </row>
    <row r="27" spans="1:7" ht="23.25" customHeight="1" outlineLevel="1" thickBot="1">
      <c r="A27" s="104"/>
      <c r="B27" s="105"/>
      <c r="C27" s="102"/>
      <c r="D27" s="102"/>
      <c r="E27" s="103"/>
      <c r="F27" s="103" t="str">
        <f t="shared" si="0"/>
        <v/>
      </c>
    </row>
    <row r="28" spans="1:7" ht="27.75" thickTop="1" thickBot="1">
      <c r="A28" s="92" t="s">
        <v>827</v>
      </c>
      <c r="B28" s="93"/>
      <c r="C28" s="93"/>
      <c r="D28" s="93"/>
      <c r="E28" s="93"/>
      <c r="F28" s="93"/>
      <c r="G28" s="106" t="e">
        <f>+G16+G19+G10+G8</f>
        <v>#NAME?</v>
      </c>
    </row>
    <row r="29" spans="1:7" ht="16.5" thickBot="1">
      <c r="A29" s="96"/>
      <c r="B29" s="96"/>
      <c r="C29" s="96"/>
      <c r="D29" s="96"/>
      <c r="E29" s="96"/>
      <c r="F29" s="96"/>
      <c r="G29" s="96"/>
    </row>
    <row r="30" spans="1:7" ht="27.75" outlineLevel="1" thickTop="1" thickBot="1">
      <c r="A30" s="92" t="s">
        <v>828</v>
      </c>
      <c r="B30" s="93"/>
      <c r="C30" s="93"/>
      <c r="D30" s="93"/>
      <c r="E30" s="93"/>
      <c r="F30" s="93"/>
      <c r="G30" s="107" t="s">
        <v>829</v>
      </c>
    </row>
    <row r="31" spans="1:7" ht="26.25" outlineLevel="1" thickTop="1">
      <c r="A31" s="97" t="s">
        <v>820</v>
      </c>
      <c r="B31" s="98" t="s">
        <v>821</v>
      </c>
      <c r="C31" s="99" t="s">
        <v>303</v>
      </c>
      <c r="D31" s="99" t="s">
        <v>395</v>
      </c>
      <c r="E31" s="99" t="s">
        <v>822</v>
      </c>
      <c r="F31" s="99" t="s">
        <v>304</v>
      </c>
    </row>
    <row r="32" spans="1:7" ht="23.25" customHeight="1" outlineLevel="1">
      <c r="A32" s="108"/>
      <c r="B32" s="109"/>
      <c r="C32" s="110"/>
      <c r="D32" s="110"/>
      <c r="E32" s="110"/>
      <c r="F32" s="111" t="str">
        <f t="shared" ref="F32:F36" si="1">IF(C32="","",C32*E32)</f>
        <v/>
      </c>
    </row>
    <row r="33" spans="1:7" ht="23.25" customHeight="1" outlineLevel="1">
      <c r="A33" s="108"/>
      <c r="B33" s="109"/>
      <c r="C33" s="110"/>
      <c r="D33" s="110"/>
      <c r="E33" s="110"/>
      <c r="F33" s="111"/>
    </row>
    <row r="34" spans="1:7" ht="23.25" customHeight="1" outlineLevel="1">
      <c r="A34" s="108"/>
      <c r="B34" s="109"/>
      <c r="C34" s="110"/>
      <c r="D34" s="110"/>
      <c r="E34" s="110"/>
      <c r="F34" s="111"/>
    </row>
    <row r="35" spans="1:7" ht="23.25" customHeight="1" outlineLevel="1">
      <c r="A35" s="108"/>
      <c r="B35" s="109"/>
      <c r="C35" s="110"/>
      <c r="D35" s="110"/>
      <c r="E35" s="110"/>
      <c r="F35" s="111" t="str">
        <f t="shared" si="1"/>
        <v/>
      </c>
    </row>
    <row r="36" spans="1:7" ht="23.25" customHeight="1" outlineLevel="1">
      <c r="A36" s="108"/>
      <c r="B36" s="109"/>
      <c r="C36" s="110"/>
      <c r="D36" s="110"/>
      <c r="E36" s="110"/>
      <c r="F36" s="111" t="str">
        <f t="shared" si="1"/>
        <v/>
      </c>
    </row>
    <row r="37" spans="1:7" ht="31.5">
      <c r="A37" s="900" t="s">
        <v>830</v>
      </c>
      <c r="B37" s="900"/>
      <c r="C37" s="900"/>
      <c r="D37" s="900"/>
      <c r="E37" s="900"/>
      <c r="F37" s="900"/>
      <c r="G37" s="900"/>
    </row>
    <row r="38" spans="1:7" ht="44.25" customHeight="1">
      <c r="A38" s="898" t="s">
        <v>831</v>
      </c>
      <c r="B38" s="898"/>
      <c r="C38" s="898"/>
      <c r="D38" s="898"/>
      <c r="E38" s="898"/>
      <c r="F38" s="898"/>
      <c r="G38" s="898"/>
    </row>
    <row r="39" spans="1:7" ht="31.5">
      <c r="A39" s="900" t="s">
        <v>832</v>
      </c>
      <c r="B39" s="900"/>
      <c r="C39" s="900"/>
      <c r="D39" s="900"/>
      <c r="E39" s="900"/>
      <c r="F39" s="900"/>
      <c r="G39" s="900"/>
    </row>
    <row r="40" spans="1:7" ht="122.25" customHeight="1">
      <c r="A40" s="898" t="e">
        <f>CONCATENATE('VRF and Lists'!#REF!,'VRF and Lists'!#REF!,'VRF and Lists'!#REF!,'VRF and Lists'!#REF!,'VRF and Lists'!#REF!,'VRF and Lists'!#REF!,'VRF and Lists'!#REF!,'VRF and Lists'!#REF!,'VRF and Lists'!#REF!,'VRF and Lists'!#REF!,'VRF and Lists'!#REF!,CHAR(10),CHAR(10),'VRF and Lists'!#REF!,'VRF and Lists'!#REF!,'VRF and Lists'!#REF!,'VRF and Lists'!#REF!,'VRF and Lists'!#REF!,'VRF and Lists'!#REF!,'VRF and Lists'!#REF!)</f>
        <v>#REF!</v>
      </c>
      <c r="B40" s="898"/>
      <c r="C40" s="898"/>
      <c r="D40" s="898"/>
      <c r="E40" s="898"/>
      <c r="F40" s="898"/>
      <c r="G40" s="898"/>
    </row>
  </sheetData>
  <mergeCells count="13">
    <mergeCell ref="A11:G11"/>
    <mergeCell ref="C1:D1"/>
    <mergeCell ref="E1:G1"/>
    <mergeCell ref="C2:D2"/>
    <mergeCell ref="E2:G2"/>
    <mergeCell ref="A9:G9"/>
    <mergeCell ref="A40:G40"/>
    <mergeCell ref="A14:G14"/>
    <mergeCell ref="A17:G17"/>
    <mergeCell ref="A20:G20"/>
    <mergeCell ref="A37:G37"/>
    <mergeCell ref="A38:G38"/>
    <mergeCell ref="A39:G39"/>
  </mergeCells>
  <conditionalFormatting sqref="A1 A3:A21 A27:A30 A37:A1048576">
    <cfRule type="containsBlanks" dxfId="5" priority="6">
      <formula>LEN(TRIM(A1))=0</formula>
    </cfRule>
  </conditionalFormatting>
  <conditionalFormatting sqref="E1:F2">
    <cfRule type="cellIs" dxfId="4" priority="2" operator="equal">
      <formula>0</formula>
    </cfRule>
  </conditionalFormatting>
  <conditionalFormatting sqref="G3:G8 G10 G13 G16 G19">
    <cfRule type="cellIs" dxfId="3" priority="5" operator="equal">
      <formula>0</formula>
    </cfRule>
  </conditionalFormatting>
  <conditionalFormatting sqref="G21">
    <cfRule type="cellIs" dxfId="2" priority="3" operator="equal">
      <formula>0</formula>
    </cfRule>
  </conditionalFormatting>
  <conditionalFormatting sqref="G28">
    <cfRule type="cellIs" dxfId="1" priority="4" operator="equal">
      <formula>0</formula>
    </cfRule>
  </conditionalFormatting>
  <conditionalFormatting sqref="G30">
    <cfRule type="cellIs" dxfId="0" priority="1" operator="equal">
      <formula>0</formula>
    </cfRule>
  </conditionalFormatting>
  <printOptions horizontalCentered="1"/>
  <pageMargins left="0.25" right="0.25" top="0.25" bottom="0.25" header="0.3" footer="0.3"/>
  <pageSetup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DBB5-5ADC-4D44-80AF-C9F332FDFDC8}">
  <sheetPr>
    <tabColor rgb="FF00B050"/>
    <pageSetUpPr fitToPage="1"/>
  </sheetPr>
  <dimension ref="A1:G47"/>
  <sheetViews>
    <sheetView view="pageBreakPreview" zoomScaleNormal="100" zoomScaleSheetLayoutView="100" workbookViewId="0">
      <selection activeCell="G18" sqref="G18"/>
    </sheetView>
  </sheetViews>
  <sheetFormatPr defaultColWidth="12.28515625" defaultRowHeight="15.75"/>
  <cols>
    <col min="1" max="9" width="12.28515625" style="8"/>
    <col min="10" max="10" width="13" style="8" bestFit="1" customWidth="1"/>
    <col min="11" max="16384" width="12.28515625" style="8"/>
  </cols>
  <sheetData>
    <row r="1" spans="1:7">
      <c r="B1" s="112"/>
    </row>
    <row r="4" spans="1:7">
      <c r="A4" s="113"/>
    </row>
    <row r="5" spans="1:7" ht="31.5">
      <c r="A5" s="904" t="s">
        <v>833</v>
      </c>
      <c r="B5" s="905"/>
      <c r="C5" s="905"/>
      <c r="D5" s="905"/>
      <c r="E5" s="906"/>
      <c r="F5" s="114" t="s">
        <v>834</v>
      </c>
      <c r="G5" s="114" t="s">
        <v>835</v>
      </c>
    </row>
    <row r="6" spans="1:7">
      <c r="A6" s="922" t="s">
        <v>836</v>
      </c>
      <c r="B6" s="923"/>
      <c r="C6" s="923"/>
      <c r="D6" s="923"/>
      <c r="E6" s="924"/>
      <c r="F6" s="45"/>
      <c r="G6" s="45" t="s">
        <v>837</v>
      </c>
    </row>
    <row r="7" spans="1:7">
      <c r="A7" s="922" t="s">
        <v>838</v>
      </c>
      <c r="B7" s="923"/>
      <c r="C7" s="923"/>
      <c r="D7" s="923"/>
      <c r="E7" s="924"/>
      <c r="F7" s="45"/>
      <c r="G7" s="45" t="s">
        <v>837</v>
      </c>
    </row>
    <row r="8" spans="1:7">
      <c r="A8" s="922" t="s">
        <v>839</v>
      </c>
      <c r="B8" s="923"/>
      <c r="C8" s="923"/>
      <c r="D8" s="923"/>
      <c r="E8" s="924"/>
      <c r="F8" s="45"/>
      <c r="G8" s="45" t="s">
        <v>837</v>
      </c>
    </row>
    <row r="9" spans="1:7">
      <c r="A9" s="922" t="s">
        <v>840</v>
      </c>
      <c r="B9" s="923"/>
      <c r="C9" s="923"/>
      <c r="D9" s="923"/>
      <c r="E9" s="924"/>
      <c r="F9" s="45"/>
      <c r="G9" s="45" t="s">
        <v>837</v>
      </c>
    </row>
    <row r="10" spans="1:7">
      <c r="A10" s="922" t="s">
        <v>841</v>
      </c>
      <c r="B10" s="923"/>
      <c r="C10" s="923"/>
      <c r="D10" s="923"/>
      <c r="E10" s="924"/>
      <c r="F10" s="45"/>
      <c r="G10" s="45" t="s">
        <v>837</v>
      </c>
    </row>
    <row r="11" spans="1:7">
      <c r="A11" s="922" t="s">
        <v>842</v>
      </c>
      <c r="B11" s="923"/>
      <c r="C11" s="923"/>
      <c r="D11" s="923"/>
      <c r="E11" s="924"/>
      <c r="F11" s="45"/>
      <c r="G11" s="45" t="s">
        <v>837</v>
      </c>
    </row>
    <row r="12" spans="1:7">
      <c r="A12" s="922" t="s">
        <v>843</v>
      </c>
      <c r="B12" s="923"/>
      <c r="C12" s="923"/>
      <c r="D12" s="923"/>
      <c r="E12" s="924"/>
      <c r="F12" s="45"/>
      <c r="G12" s="45" t="s">
        <v>837</v>
      </c>
    </row>
    <row r="13" spans="1:7">
      <c r="A13" s="922" t="s">
        <v>844</v>
      </c>
      <c r="B13" s="923"/>
      <c r="C13" s="923"/>
      <c r="D13" s="923"/>
      <c r="E13" s="924"/>
      <c r="F13" s="45"/>
      <c r="G13" s="45" t="s">
        <v>837</v>
      </c>
    </row>
    <row r="14" spans="1:7">
      <c r="A14" s="922" t="s">
        <v>845</v>
      </c>
      <c r="B14" s="923"/>
      <c r="C14" s="923"/>
      <c r="D14" s="923"/>
      <c r="E14" s="924"/>
      <c r="F14" s="45"/>
      <c r="G14" s="45" t="s">
        <v>837</v>
      </c>
    </row>
    <row r="15" spans="1:7">
      <c r="A15" s="922" t="s">
        <v>846</v>
      </c>
      <c r="B15" s="923"/>
      <c r="C15" s="923"/>
      <c r="D15" s="923"/>
      <c r="E15" s="924"/>
      <c r="F15" s="45"/>
      <c r="G15" s="45" t="s">
        <v>837</v>
      </c>
    </row>
    <row r="16" spans="1:7">
      <c r="A16" s="922" t="s">
        <v>847</v>
      </c>
      <c r="B16" s="923"/>
      <c r="C16" s="923"/>
      <c r="D16" s="923"/>
      <c r="E16" s="924"/>
      <c r="F16" s="45"/>
      <c r="G16" s="45" t="s">
        <v>837</v>
      </c>
    </row>
    <row r="17" spans="1:7">
      <c r="A17" s="922" t="s">
        <v>848</v>
      </c>
      <c r="B17" s="923"/>
      <c r="C17" s="923"/>
      <c r="D17" s="923"/>
      <c r="E17" s="924"/>
      <c r="F17" s="45"/>
      <c r="G17" s="45" t="s">
        <v>837</v>
      </c>
    </row>
    <row r="18" spans="1:7">
      <c r="A18" s="922" t="s">
        <v>849</v>
      </c>
      <c r="B18" s="923"/>
      <c r="C18" s="923"/>
      <c r="D18" s="923"/>
      <c r="E18" s="924"/>
      <c r="F18" s="45"/>
      <c r="G18" s="45" t="s">
        <v>837</v>
      </c>
    </row>
    <row r="19" spans="1:7">
      <c r="A19" s="922" t="s">
        <v>850</v>
      </c>
      <c r="B19" s="923"/>
      <c r="C19" s="923"/>
      <c r="D19" s="923"/>
      <c r="E19" s="924"/>
      <c r="F19" s="45"/>
      <c r="G19" s="45" t="s">
        <v>837</v>
      </c>
    </row>
    <row r="20" spans="1:7">
      <c r="A20" s="922" t="s">
        <v>851</v>
      </c>
      <c r="B20" s="923"/>
      <c r="C20" s="923"/>
      <c r="D20" s="923"/>
      <c r="E20" s="924"/>
      <c r="F20" s="45"/>
      <c r="G20" s="45" t="s">
        <v>837</v>
      </c>
    </row>
    <row r="21" spans="1:7">
      <c r="A21" s="922" t="s">
        <v>852</v>
      </c>
      <c r="B21" s="923"/>
      <c r="C21" s="923"/>
      <c r="D21" s="923"/>
      <c r="E21" s="924"/>
      <c r="F21" s="45"/>
      <c r="G21" s="45" t="s">
        <v>837</v>
      </c>
    </row>
    <row r="22" spans="1:7">
      <c r="A22" s="922" t="s">
        <v>853</v>
      </c>
      <c r="B22" s="923"/>
      <c r="C22" s="923"/>
      <c r="D22" s="923"/>
      <c r="E22" s="924"/>
      <c r="F22" s="45"/>
      <c r="G22" s="45" t="s">
        <v>837</v>
      </c>
    </row>
    <row r="23" spans="1:7">
      <c r="A23" s="922" t="s">
        <v>854</v>
      </c>
      <c r="B23" s="923"/>
      <c r="C23" s="923"/>
      <c r="D23" s="923"/>
      <c r="E23" s="924"/>
      <c r="F23" s="45"/>
      <c r="G23" s="45" t="s">
        <v>837</v>
      </c>
    </row>
    <row r="24" spans="1:7">
      <c r="A24" s="922" t="s">
        <v>855</v>
      </c>
      <c r="B24" s="923"/>
      <c r="C24" s="923"/>
      <c r="D24" s="923"/>
      <c r="E24" s="924"/>
      <c r="F24" s="45"/>
      <c r="G24" s="45" t="s">
        <v>837</v>
      </c>
    </row>
    <row r="25" spans="1:7">
      <c r="A25" s="922" t="s">
        <v>856</v>
      </c>
      <c r="B25" s="923"/>
      <c r="C25" s="923"/>
      <c r="D25" s="923"/>
      <c r="E25" s="924"/>
      <c r="F25" s="45"/>
      <c r="G25" s="45" t="s">
        <v>837</v>
      </c>
    </row>
    <row r="26" spans="1:7">
      <c r="A26" s="922" t="s">
        <v>857</v>
      </c>
      <c r="B26" s="923"/>
      <c r="C26" s="923"/>
      <c r="D26" s="923"/>
      <c r="E26" s="924"/>
      <c r="F26" s="45"/>
      <c r="G26" s="45" t="s">
        <v>837</v>
      </c>
    </row>
    <row r="27" spans="1:7">
      <c r="A27" s="922" t="s">
        <v>472</v>
      </c>
      <c r="B27" s="923"/>
      <c r="C27" s="923"/>
      <c r="D27" s="923"/>
      <c r="E27" s="924"/>
      <c r="F27" s="45"/>
      <c r="G27" s="45" t="s">
        <v>837</v>
      </c>
    </row>
    <row r="28" spans="1:7">
      <c r="A28" s="922" t="s">
        <v>858</v>
      </c>
      <c r="B28" s="923"/>
      <c r="C28" s="923"/>
      <c r="D28" s="923"/>
      <c r="E28" s="924"/>
      <c r="F28" s="45"/>
      <c r="G28" s="45" t="s">
        <v>837</v>
      </c>
    </row>
    <row r="29" spans="1:7">
      <c r="A29" s="922" t="s">
        <v>859</v>
      </c>
      <c r="B29" s="923"/>
      <c r="C29" s="923"/>
      <c r="D29" s="923"/>
      <c r="E29" s="924"/>
      <c r="F29" s="45"/>
      <c r="G29" s="45" t="s">
        <v>837</v>
      </c>
    </row>
    <row r="30" spans="1:7">
      <c r="A30" s="922" t="s">
        <v>860</v>
      </c>
      <c r="B30" s="923"/>
      <c r="C30" s="923"/>
      <c r="D30" s="923"/>
      <c r="E30" s="924"/>
      <c r="F30" s="45"/>
      <c r="G30" s="45" t="s">
        <v>837</v>
      </c>
    </row>
    <row r="31" spans="1:7">
      <c r="A31" s="922" t="s">
        <v>861</v>
      </c>
      <c r="B31" s="923"/>
      <c r="C31" s="923"/>
      <c r="D31" s="923"/>
      <c r="E31" s="924"/>
      <c r="F31" s="45"/>
      <c r="G31" s="45" t="s">
        <v>837</v>
      </c>
    </row>
    <row r="32" spans="1:7">
      <c r="A32" s="922" t="s">
        <v>862</v>
      </c>
      <c r="B32" s="923"/>
      <c r="C32" s="923"/>
      <c r="D32" s="923"/>
      <c r="E32" s="924"/>
      <c r="F32" s="45"/>
      <c r="G32" s="45" t="s">
        <v>837</v>
      </c>
    </row>
    <row r="33" spans="1:7">
      <c r="A33" s="922" t="s">
        <v>863</v>
      </c>
      <c r="B33" s="923"/>
      <c r="C33" s="923"/>
      <c r="D33" s="923"/>
      <c r="E33" s="924"/>
      <c r="F33" s="45"/>
      <c r="G33" s="45" t="s">
        <v>837</v>
      </c>
    </row>
    <row r="34" spans="1:7">
      <c r="A34" s="922" t="s">
        <v>864</v>
      </c>
      <c r="B34" s="923"/>
      <c r="C34" s="923"/>
      <c r="D34" s="923"/>
      <c r="E34" s="924"/>
      <c r="F34" s="45"/>
      <c r="G34" s="45" t="s">
        <v>837</v>
      </c>
    </row>
    <row r="35" spans="1:7">
      <c r="A35" s="922" t="s">
        <v>865</v>
      </c>
      <c r="B35" s="923"/>
      <c r="C35" s="923"/>
      <c r="D35" s="923"/>
      <c r="E35" s="924"/>
      <c r="F35" s="45"/>
      <c r="G35" s="45" t="s">
        <v>837</v>
      </c>
    </row>
    <row r="36" spans="1:7">
      <c r="A36" s="922" t="s">
        <v>866</v>
      </c>
      <c r="B36" s="923"/>
      <c r="C36" s="923"/>
      <c r="D36" s="923"/>
      <c r="E36" s="924"/>
      <c r="F36" s="45"/>
      <c r="G36" s="45" t="s">
        <v>837</v>
      </c>
    </row>
    <row r="37" spans="1:7">
      <c r="A37" s="547" t="s">
        <v>867</v>
      </c>
      <c r="B37" s="548"/>
      <c r="C37" s="548"/>
      <c r="D37" s="548"/>
      <c r="E37" s="549"/>
      <c r="F37" s="45" t="e">
        <f>IF(VRF_Price=0,"","X")</f>
        <v>#NAME?</v>
      </c>
      <c r="G37" s="45" t="e">
        <f>IF(VRF_Price=0,"X","")</f>
        <v>#NAME?</v>
      </c>
    </row>
    <row r="38" spans="1:7">
      <c r="A38" s="922" t="s">
        <v>868</v>
      </c>
      <c r="B38" s="923"/>
      <c r="C38" s="923"/>
      <c r="D38" s="923"/>
      <c r="E38" s="924"/>
      <c r="F38" s="45"/>
      <c r="G38" s="45" t="s">
        <v>837</v>
      </c>
    </row>
    <row r="39" spans="1:7">
      <c r="A39" s="8" t="s">
        <v>869</v>
      </c>
      <c r="G39" s="528"/>
    </row>
    <row r="40" spans="1:7">
      <c r="A40" s="8" t="s">
        <v>870</v>
      </c>
      <c r="G40" s="528"/>
    </row>
    <row r="41" spans="1:7">
      <c r="A41" s="8" t="s">
        <v>871</v>
      </c>
      <c r="G41" s="528"/>
    </row>
    <row r="42" spans="1:7">
      <c r="A42" s="8" t="s">
        <v>872</v>
      </c>
      <c r="G42" s="528"/>
    </row>
    <row r="43" spans="1:7">
      <c r="A43" s="8" t="s">
        <v>873</v>
      </c>
      <c r="G43" s="528"/>
    </row>
    <row r="44" spans="1:7">
      <c r="A44" s="8" t="s">
        <v>874</v>
      </c>
      <c r="G44" s="528"/>
    </row>
    <row r="45" spans="1:7">
      <c r="A45" s="8" t="s">
        <v>875</v>
      </c>
      <c r="G45" s="528"/>
    </row>
    <row r="46" spans="1:7">
      <c r="A46" s="8" t="s">
        <v>876</v>
      </c>
      <c r="G46" s="528"/>
    </row>
    <row r="47" spans="1:7">
      <c r="A47" s="8" t="s">
        <v>877</v>
      </c>
      <c r="G47" s="528" t="s">
        <v>837</v>
      </c>
    </row>
  </sheetData>
  <mergeCells count="33">
    <mergeCell ref="A16:E16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28:E28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35:E35"/>
    <mergeCell ref="A36:E36"/>
    <mergeCell ref="A38:E38"/>
    <mergeCell ref="A29:E29"/>
    <mergeCell ref="A30:E30"/>
    <mergeCell ref="A31:E31"/>
    <mergeCell ref="A32:E32"/>
    <mergeCell ref="A33:E33"/>
    <mergeCell ref="A34:E34"/>
  </mergeCells>
  <pageMargins left="0.7" right="0.7" top="0.75" bottom="0.75" header="0.3" footer="0.3"/>
  <pageSetup scale="7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4CE-E73F-4F65-8F0B-E350792F931A}">
  <sheetPr>
    <tabColor rgb="FFFF0000"/>
  </sheetPr>
  <dimension ref="A1:AP46"/>
  <sheetViews>
    <sheetView topLeftCell="Q1" zoomScale="115" zoomScaleNormal="115" workbookViewId="0">
      <selection activeCell="V21" sqref="V21"/>
    </sheetView>
  </sheetViews>
  <sheetFormatPr defaultColWidth="8.85546875" defaultRowHeight="15.75"/>
  <cols>
    <col min="1" max="1" width="31.140625" style="8" customWidth="1"/>
    <col min="2" max="2" width="16.5703125" style="8" customWidth="1"/>
    <col min="3" max="4" width="31.140625" style="8" customWidth="1"/>
    <col min="5" max="5" width="16" style="8" bestFit="1" customWidth="1"/>
    <col min="6" max="6" width="31.140625" style="8" customWidth="1"/>
    <col min="7" max="7" width="15.7109375" style="8" bestFit="1" customWidth="1"/>
    <col min="8" max="8" width="65.5703125" style="8" bestFit="1" customWidth="1"/>
    <col min="9" max="9" width="41.85546875" style="8" bestFit="1" customWidth="1"/>
    <col min="10" max="11" width="31.140625" style="8" customWidth="1"/>
    <col min="12" max="12" width="47.28515625" style="8" bestFit="1" customWidth="1"/>
    <col min="13" max="13" width="15.140625" style="8" bestFit="1" customWidth="1"/>
    <col min="14" max="14" width="15.140625" style="8" customWidth="1"/>
    <col min="15" max="15" width="10.28515625" style="8" bestFit="1" customWidth="1"/>
    <col min="16" max="16" width="4.140625" style="8" bestFit="1" customWidth="1"/>
    <col min="17" max="17" width="38.5703125" style="8" bestFit="1" customWidth="1"/>
    <col min="18" max="18" width="8.85546875" style="8"/>
    <col min="19" max="19" width="34.7109375" style="8" bestFit="1" customWidth="1"/>
    <col min="20" max="20" width="8.85546875" style="8"/>
    <col min="21" max="21" width="7.28515625" style="8" customWidth="1"/>
    <col min="22" max="22" width="7.5703125" style="8" customWidth="1"/>
    <col min="23" max="23" width="9.7109375" style="8" customWidth="1"/>
    <col min="24" max="26" width="7.5703125" style="8" customWidth="1"/>
    <col min="27" max="29" width="9.28515625" style="8" customWidth="1"/>
    <col min="30" max="30" width="13.140625" style="8" customWidth="1"/>
    <col min="31" max="31" width="10.7109375" style="8" customWidth="1"/>
    <col min="32" max="32" width="9.28515625" style="8" customWidth="1"/>
    <col min="33" max="34" width="8.85546875" style="8"/>
    <col min="35" max="35" width="19.7109375" style="8" bestFit="1" customWidth="1"/>
    <col min="36" max="36" width="19.7109375" style="8" customWidth="1"/>
    <col min="37" max="37" width="31.7109375" style="8" bestFit="1" customWidth="1"/>
    <col min="38" max="38" width="29.85546875" style="8" customWidth="1"/>
    <col min="39" max="41" width="7.140625" style="8" bestFit="1" customWidth="1"/>
    <col min="42" max="42" width="6.140625" style="8" bestFit="1" customWidth="1"/>
    <col min="43" max="16384" width="8.85546875" style="8"/>
  </cols>
  <sheetData>
    <row r="1" spans="1:42" ht="16.5" thickBot="1">
      <c r="A1" s="8" t="s">
        <v>878</v>
      </c>
      <c r="F1" s="443"/>
      <c r="G1" s="437" t="s">
        <v>879</v>
      </c>
      <c r="H1" s="115" t="s">
        <v>880</v>
      </c>
      <c r="I1" s="116" t="s">
        <v>881</v>
      </c>
      <c r="J1" s="117" t="s">
        <v>882</v>
      </c>
      <c r="L1" s="417" t="s">
        <v>173</v>
      </c>
      <c r="M1" s="418" t="s">
        <v>883</v>
      </c>
      <c r="N1" s="113" t="s">
        <v>884</v>
      </c>
      <c r="O1" s="8" t="s">
        <v>238</v>
      </c>
      <c r="P1" s="17" t="s">
        <v>885</v>
      </c>
      <c r="Q1" s="8" t="s">
        <v>886</v>
      </c>
      <c r="S1" s="8" t="s">
        <v>887</v>
      </c>
      <c r="W1" s="113">
        <v>5479</v>
      </c>
      <c r="X1" s="913" t="s">
        <v>888</v>
      </c>
      <c r="Y1" s="913"/>
      <c r="Z1" s="909">
        <v>46079</v>
      </c>
      <c r="AA1" s="909"/>
      <c r="AB1" s="909"/>
      <c r="AE1" s="8">
        <v>5183</v>
      </c>
      <c r="AL1" s="912" t="s">
        <v>12</v>
      </c>
      <c r="AM1" s="912"/>
      <c r="AN1" s="912"/>
      <c r="AO1" s="912"/>
      <c r="AP1" s="912"/>
    </row>
    <row r="2" spans="1:42" ht="51.75" thickBot="1">
      <c r="A2" s="118" t="s">
        <v>889</v>
      </c>
      <c r="B2" s="119" t="s">
        <v>890</v>
      </c>
      <c r="C2" s="120" t="s">
        <v>878</v>
      </c>
      <c r="D2" s="120" t="s">
        <v>891</v>
      </c>
      <c r="E2" s="444" t="s">
        <v>892</v>
      </c>
      <c r="F2" s="445">
        <v>58</v>
      </c>
      <c r="G2" s="121" t="s">
        <v>400</v>
      </c>
      <c r="H2" s="121" t="s">
        <v>400</v>
      </c>
      <c r="I2" s="121" t="s">
        <v>163</v>
      </c>
      <c r="J2" s="122" t="s">
        <v>163</v>
      </c>
      <c r="L2" s="419" t="s">
        <v>163</v>
      </c>
      <c r="M2" s="420" t="s">
        <v>163</v>
      </c>
      <c r="N2" s="407"/>
      <c r="O2" s="407" t="s">
        <v>163</v>
      </c>
      <c r="P2" s="17"/>
      <c r="Q2" s="335" t="s">
        <v>400</v>
      </c>
      <c r="S2" s="123" t="s">
        <v>400</v>
      </c>
      <c r="U2" s="320" t="s">
        <v>893</v>
      </c>
      <c r="V2" s="321" t="s">
        <v>894</v>
      </c>
      <c r="W2" s="321" t="s">
        <v>895</v>
      </c>
      <c r="X2" s="321" t="s">
        <v>896</v>
      </c>
      <c r="Y2" s="321" t="s">
        <v>897</v>
      </c>
      <c r="Z2" s="321" t="s">
        <v>898</v>
      </c>
      <c r="AA2" s="347" t="s">
        <v>899</v>
      </c>
      <c r="AB2" s="346" t="s">
        <v>900</v>
      </c>
      <c r="AC2" s="345" t="s">
        <v>901</v>
      </c>
      <c r="AD2" s="321" t="s">
        <v>902</v>
      </c>
      <c r="AE2" s="321" t="s">
        <v>903</v>
      </c>
      <c r="AF2" s="320" t="s">
        <v>904</v>
      </c>
      <c r="AG2" s="320" t="s">
        <v>905</v>
      </c>
      <c r="AH2" s="323"/>
      <c r="AI2" s="320" t="s">
        <v>906</v>
      </c>
      <c r="AK2" s="320" t="s">
        <v>907</v>
      </c>
      <c r="AL2" s="912"/>
      <c r="AM2" s="912"/>
      <c r="AN2" s="912"/>
      <c r="AO2" s="912"/>
      <c r="AP2" s="912"/>
    </row>
    <row r="3" spans="1:42" ht="16.5" thickBot="1">
      <c r="A3" s="124" t="s">
        <v>163</v>
      </c>
      <c r="B3" s="124"/>
      <c r="C3" s="124" t="s">
        <v>163</v>
      </c>
      <c r="D3" s="440" t="s">
        <v>163</v>
      </c>
      <c r="E3" s="446" t="s">
        <v>338</v>
      </c>
      <c r="F3" s="445">
        <v>7.29</v>
      </c>
      <c r="G3" s="442">
        <v>0</v>
      </c>
      <c r="H3" s="126" t="s">
        <v>908</v>
      </c>
      <c r="I3" s="126" t="s">
        <v>909</v>
      </c>
      <c r="J3" s="126" t="s">
        <v>910</v>
      </c>
      <c r="L3" s="415" t="s">
        <v>911</v>
      </c>
      <c r="M3" s="413">
        <v>6</v>
      </c>
      <c r="N3" s="8">
        <v>3</v>
      </c>
      <c r="O3" s="408"/>
      <c r="P3" s="17" t="s">
        <v>92</v>
      </c>
      <c r="Q3" s="8" t="e" cm="1">
        <f t="array" ref="Q3">_xlfn._xlws.SORT(_xlfn.UNIQUE('Base Bid'!#REF!))</f>
        <v>#REF!</v>
      </c>
      <c r="S3" s="127" t="s">
        <v>12</v>
      </c>
      <c r="U3" s="317" t="s">
        <v>163</v>
      </c>
      <c r="V3" s="316" t="s">
        <v>163</v>
      </c>
      <c r="W3" s="316" t="s">
        <v>163</v>
      </c>
      <c r="X3" s="316" t="s">
        <v>163</v>
      </c>
      <c r="Y3" s="316" t="s">
        <v>163</v>
      </c>
      <c r="Z3" s="316" t="s">
        <v>163</v>
      </c>
      <c r="AA3" s="316" t="s">
        <v>163</v>
      </c>
      <c r="AB3" s="316" t="s">
        <v>163</v>
      </c>
      <c r="AC3" s="316" t="s">
        <v>163</v>
      </c>
      <c r="AD3" s="316" t="s">
        <v>163</v>
      </c>
      <c r="AE3" s="316" t="s">
        <v>163</v>
      </c>
      <c r="AF3" s="316" t="s">
        <v>163</v>
      </c>
      <c r="AG3" s="316" t="s">
        <v>163</v>
      </c>
      <c r="AH3" s="324"/>
      <c r="AI3" s="316" t="s">
        <v>163</v>
      </c>
      <c r="AK3" s="316" t="s">
        <v>163</v>
      </c>
      <c r="AL3" s="337"/>
      <c r="AM3" s="337"/>
      <c r="AN3" s="337"/>
      <c r="AO3" s="337"/>
      <c r="AP3" s="337"/>
    </row>
    <row r="4" spans="1:42">
      <c r="A4" s="128" t="s">
        <v>802</v>
      </c>
      <c r="B4" s="129">
        <v>6</v>
      </c>
      <c r="C4" s="130" t="e">
        <f t="shared" ref="C4:C15" si="0">ROUNDUP($B4*IF(Rate_Wage_YN=Rate_No,1,(1+Rate_Incremental)),1)</f>
        <v>#NAME?</v>
      </c>
      <c r="D4" s="441" t="e">
        <f t="shared" ref="D4:D15" si="1">+C4*(1+VRF_Covered_Rate)</f>
        <v>#NAME?</v>
      </c>
      <c r="E4" s="447" t="s">
        <v>912</v>
      </c>
      <c r="F4" s="445">
        <f>+Base_rate_total-CBA_Fringe</f>
        <v>50.71</v>
      </c>
      <c r="G4" s="442">
        <f t="shared" ref="G4:G23" si="2">+G3+0.05</f>
        <v>0.05</v>
      </c>
      <c r="H4" s="126" t="s">
        <v>794</v>
      </c>
      <c r="I4" s="126" t="s">
        <v>913</v>
      </c>
      <c r="J4" s="126" t="s">
        <v>914</v>
      </c>
      <c r="L4" s="415" t="s">
        <v>915</v>
      </c>
      <c r="M4" s="413">
        <v>22</v>
      </c>
      <c r="N4" s="8">
        <v>5</v>
      </c>
      <c r="O4" s="409" t="str">
        <f>+'Quantites and Price from Mike'!F4</f>
        <v>HVAC Pipe</v>
      </c>
      <c r="P4" s="17" t="s">
        <v>77</v>
      </c>
      <c r="S4" s="127" t="s">
        <v>1</v>
      </c>
      <c r="U4" s="288" t="s">
        <v>916</v>
      </c>
      <c r="V4" s="348">
        <v>0</v>
      </c>
      <c r="W4" s="348">
        <v>5.3850000000000002E-2</v>
      </c>
      <c r="X4" s="348">
        <v>6.2E-2</v>
      </c>
      <c r="Y4" s="348">
        <v>1.4500000000000001E-2</v>
      </c>
      <c r="Z4" s="348">
        <v>6.0000000000000001E-3</v>
      </c>
      <c r="AA4" s="348">
        <v>3.3000000000000002E-2</v>
      </c>
      <c r="AB4" s="348">
        <v>0.04</v>
      </c>
      <c r="AC4" s="348">
        <v>4.2000000000000003E-2</v>
      </c>
      <c r="AD4" s="344">
        <v>8000</v>
      </c>
      <c r="AE4" s="348">
        <v>2.7900000000000001E-2</v>
      </c>
      <c r="AF4" s="349">
        <v>0.05</v>
      </c>
      <c r="AG4" s="349">
        <v>5.2999999999999999E-2</v>
      </c>
      <c r="AH4" s="449"/>
      <c r="AI4" s="17" t="s">
        <v>917</v>
      </c>
      <c r="AK4" s="17" t="s">
        <v>918</v>
      </c>
    </row>
    <row r="5" spans="1:42">
      <c r="A5" s="132" t="s">
        <v>919</v>
      </c>
      <c r="B5" s="133">
        <v>5</v>
      </c>
      <c r="C5" s="134" t="e">
        <f t="shared" si="0"/>
        <v>#NAME?</v>
      </c>
      <c r="D5" s="135" t="e">
        <f t="shared" si="1"/>
        <v>#NAME?</v>
      </c>
      <c r="E5" s="438"/>
      <c r="G5" s="125">
        <f t="shared" si="2"/>
        <v>0.1</v>
      </c>
      <c r="H5" s="126"/>
      <c r="I5" s="126" t="s">
        <v>920</v>
      </c>
      <c r="J5" s="126" t="s">
        <v>921</v>
      </c>
      <c r="L5" s="415" t="s">
        <v>922</v>
      </c>
      <c r="M5" s="413">
        <v>22</v>
      </c>
      <c r="N5" s="8">
        <v>12</v>
      </c>
      <c r="O5" s="410" t="s">
        <v>260</v>
      </c>
      <c r="S5" s="127" t="s">
        <v>17</v>
      </c>
      <c r="U5" s="288" t="s">
        <v>359</v>
      </c>
      <c r="V5" s="348">
        <v>8.9999999999999993E-3</v>
      </c>
      <c r="W5" s="348">
        <v>8.4699999999999998E-2</v>
      </c>
      <c r="X5" s="348">
        <v>6.2E-2</v>
      </c>
      <c r="Y5" s="348">
        <v>1.4500000000000001E-2</v>
      </c>
      <c r="Z5" s="348">
        <v>6.0000000000000001E-3</v>
      </c>
      <c r="AA5" s="348">
        <v>3.3000000000000002E-2</v>
      </c>
      <c r="AB5" s="348">
        <v>0.04</v>
      </c>
      <c r="AC5" s="348">
        <v>3.3000000000000002E-2</v>
      </c>
      <c r="AD5" s="344">
        <v>8500</v>
      </c>
      <c r="AE5" s="348">
        <v>5.6000000000000001E-2</v>
      </c>
      <c r="AF5" s="349">
        <v>0.05</v>
      </c>
      <c r="AG5" s="349">
        <v>0.06</v>
      </c>
      <c r="AH5" s="449"/>
      <c r="AI5" s="17" t="s">
        <v>923</v>
      </c>
      <c r="AK5" s="17" t="s">
        <v>924</v>
      </c>
    </row>
    <row r="6" spans="1:42" ht="16.5" thickBot="1">
      <c r="A6" s="136" t="s">
        <v>925</v>
      </c>
      <c r="B6" s="137">
        <v>8</v>
      </c>
      <c r="C6" s="138" t="e">
        <f t="shared" si="0"/>
        <v>#NAME?</v>
      </c>
      <c r="D6" s="139" t="e">
        <f t="shared" si="1"/>
        <v>#NAME?</v>
      </c>
      <c r="E6" s="438"/>
      <c r="G6" s="125">
        <f t="shared" si="2"/>
        <v>0.15000000000000002</v>
      </c>
      <c r="H6" s="140"/>
      <c r="I6" s="126" t="s">
        <v>926</v>
      </c>
      <c r="J6" s="126" t="s">
        <v>801</v>
      </c>
      <c r="L6" s="415" t="s">
        <v>927</v>
      </c>
      <c r="M6" s="413">
        <v>12</v>
      </c>
      <c r="N6" s="413">
        <v>12</v>
      </c>
      <c r="O6" s="411" t="s">
        <v>258</v>
      </c>
      <c r="S6" s="127"/>
      <c r="U6" s="288" t="s">
        <v>172</v>
      </c>
      <c r="V6" s="348">
        <v>2.5999999999999999E-3</v>
      </c>
      <c r="W6" s="348">
        <v>4.1279999999999997E-2</v>
      </c>
      <c r="X6" s="348">
        <v>6.2E-2</v>
      </c>
      <c r="Y6" s="348">
        <v>1.4500000000000001E-2</v>
      </c>
      <c r="Z6" s="348">
        <v>6.0000000000000001E-3</v>
      </c>
      <c r="AA6" s="348">
        <v>3.3000000000000002E-2</v>
      </c>
      <c r="AB6" s="348">
        <v>0.04</v>
      </c>
      <c r="AC6" s="348">
        <v>7.5999999999999998E-2</v>
      </c>
      <c r="AD6" s="344">
        <v>9000</v>
      </c>
      <c r="AE6" s="348">
        <v>2.5499999999999998E-2</v>
      </c>
      <c r="AF6" s="349">
        <v>0.05</v>
      </c>
      <c r="AG6" s="349">
        <v>0.06</v>
      </c>
      <c r="AH6" s="449"/>
      <c r="AI6" s="17" t="s">
        <v>928</v>
      </c>
      <c r="AK6" s="17" t="s">
        <v>929</v>
      </c>
    </row>
    <row r="7" spans="1:42" ht="16.5" thickBot="1">
      <c r="A7" s="128" t="s">
        <v>930</v>
      </c>
      <c r="B7" s="129">
        <v>8</v>
      </c>
      <c r="C7" s="130" t="e">
        <f t="shared" si="0"/>
        <v>#NAME?</v>
      </c>
      <c r="D7" s="131" t="e">
        <f t="shared" si="1"/>
        <v>#NAME?</v>
      </c>
      <c r="E7" s="438"/>
      <c r="G7" s="125">
        <f t="shared" si="2"/>
        <v>0.2</v>
      </c>
      <c r="I7" s="141" t="s">
        <v>791</v>
      </c>
      <c r="J7" s="126" t="s">
        <v>931</v>
      </c>
      <c r="L7" s="415" t="s">
        <v>174</v>
      </c>
      <c r="M7" s="413">
        <v>22</v>
      </c>
      <c r="N7" s="8">
        <v>6</v>
      </c>
      <c r="O7" s="412" t="s">
        <v>262</v>
      </c>
      <c r="S7" s="142"/>
      <c r="U7" s="288" t="s">
        <v>932</v>
      </c>
      <c r="V7" s="348">
        <v>0</v>
      </c>
      <c r="W7" s="348">
        <f>MAX(W4:W6,W8:W9)</f>
        <v>8.4699999999999998E-2</v>
      </c>
      <c r="X7" s="348">
        <v>6.2E-2</v>
      </c>
      <c r="Y7" s="348">
        <v>1.4500000000000001E-2</v>
      </c>
      <c r="Z7" s="348">
        <v>6.0000000000000001E-3</v>
      </c>
      <c r="AA7" s="349">
        <f>MAX(AA$4:AA$6)</f>
        <v>3.3000000000000002E-2</v>
      </c>
      <c r="AB7" s="349">
        <f t="shared" ref="AB7:AC9" si="3">MAX(AB$4:AB$6)</f>
        <v>0.04</v>
      </c>
      <c r="AC7" s="349">
        <f t="shared" si="3"/>
        <v>7.5999999999999998E-2</v>
      </c>
      <c r="AD7" s="344">
        <v>10000</v>
      </c>
      <c r="AE7" s="348"/>
      <c r="AF7" s="348">
        <f>MAX(AF4:AF6,AF8:AF9)</f>
        <v>0.05</v>
      </c>
      <c r="AG7" s="348">
        <v>0.06</v>
      </c>
      <c r="AH7" s="450"/>
      <c r="AI7" s="17" t="s">
        <v>933</v>
      </c>
      <c r="AK7" s="17" t="s">
        <v>934</v>
      </c>
    </row>
    <row r="8" spans="1:42">
      <c r="A8" s="132" t="s">
        <v>935</v>
      </c>
      <c r="B8" s="133">
        <v>7</v>
      </c>
      <c r="C8" s="134" t="e">
        <f t="shared" si="0"/>
        <v>#NAME?</v>
      </c>
      <c r="D8" s="135" t="e">
        <f t="shared" si="1"/>
        <v>#NAME?</v>
      </c>
      <c r="E8" s="438"/>
      <c r="G8" s="125">
        <f t="shared" si="2"/>
        <v>0.25</v>
      </c>
      <c r="I8" s="141"/>
      <c r="J8" s="126" t="s">
        <v>936</v>
      </c>
      <c r="L8" s="415" t="s">
        <v>937</v>
      </c>
      <c r="M8" s="413">
        <v>12</v>
      </c>
      <c r="N8" s="413">
        <v>6</v>
      </c>
      <c r="O8" s="413"/>
      <c r="U8" s="288" t="s">
        <v>938</v>
      </c>
      <c r="V8" s="348">
        <v>8.0000000000000002E-3</v>
      </c>
      <c r="W8" s="348">
        <v>7.2999999999999995E-2</v>
      </c>
      <c r="X8" s="348">
        <v>6.2E-2</v>
      </c>
      <c r="Y8" s="348">
        <v>1.4500000000000001E-2</v>
      </c>
      <c r="Z8" s="348">
        <v>6.0000000000000001E-3</v>
      </c>
      <c r="AA8" s="349">
        <f t="shared" ref="AA8:AA9" si="4">MAX(AA$4:AA$6)</f>
        <v>3.3000000000000002E-2</v>
      </c>
      <c r="AB8" s="349">
        <f t="shared" si="3"/>
        <v>0.04</v>
      </c>
      <c r="AC8" s="349">
        <f t="shared" si="3"/>
        <v>7.5999999999999998E-2</v>
      </c>
      <c r="AD8" s="344">
        <v>10500</v>
      </c>
      <c r="AE8" s="348"/>
      <c r="AF8" s="348"/>
      <c r="AG8" s="348">
        <v>0</v>
      </c>
      <c r="AH8" s="450"/>
      <c r="AI8" s="17" t="s">
        <v>939</v>
      </c>
      <c r="AK8" s="17" t="s">
        <v>940</v>
      </c>
    </row>
    <row r="9" spans="1:42" ht="16.5" thickBot="1">
      <c r="A9" s="136" t="s">
        <v>941</v>
      </c>
      <c r="B9" s="137">
        <v>10</v>
      </c>
      <c r="C9" s="138" t="e">
        <f t="shared" si="0"/>
        <v>#NAME?</v>
      </c>
      <c r="D9" s="139" t="e">
        <f t="shared" si="1"/>
        <v>#NAME?</v>
      </c>
      <c r="E9" s="438"/>
      <c r="G9" s="125">
        <f t="shared" si="2"/>
        <v>0.3</v>
      </c>
      <c r="I9" s="141"/>
      <c r="J9" s="126" t="s">
        <v>942</v>
      </c>
      <c r="L9" s="415" t="s">
        <v>943</v>
      </c>
      <c r="M9" s="413">
        <v>1</v>
      </c>
      <c r="N9" s="413">
        <v>3</v>
      </c>
      <c r="O9" s="413"/>
      <c r="U9" s="288" t="s">
        <v>944</v>
      </c>
      <c r="V9" s="348">
        <v>0</v>
      </c>
      <c r="W9" s="349">
        <f>MAX(W$4:W$6)</f>
        <v>8.4699999999999998E-2</v>
      </c>
      <c r="X9" s="348">
        <v>6.2E-2</v>
      </c>
      <c r="Y9" s="348">
        <v>1.4500000000000001E-2</v>
      </c>
      <c r="Z9" s="348">
        <v>6.0000000000000001E-3</v>
      </c>
      <c r="AA9" s="349">
        <f t="shared" si="4"/>
        <v>3.3000000000000002E-2</v>
      </c>
      <c r="AB9" s="349">
        <f t="shared" si="3"/>
        <v>0.04</v>
      </c>
      <c r="AC9" s="349">
        <f t="shared" si="3"/>
        <v>7.5999999999999998E-2</v>
      </c>
      <c r="AD9" s="344">
        <v>44800</v>
      </c>
      <c r="AE9" s="348"/>
      <c r="AF9" s="348"/>
      <c r="AG9" s="348">
        <v>6.6500000000000004E-2</v>
      </c>
      <c r="AH9" s="450"/>
      <c r="AI9" s="17" t="s">
        <v>945</v>
      </c>
      <c r="AK9" s="17" t="s">
        <v>946</v>
      </c>
    </row>
    <row r="10" spans="1:42">
      <c r="A10" s="128" t="s">
        <v>947</v>
      </c>
      <c r="B10" s="129">
        <v>10</v>
      </c>
      <c r="C10" s="130" t="e">
        <f t="shared" si="0"/>
        <v>#NAME?</v>
      </c>
      <c r="D10" s="131" t="e">
        <f t="shared" si="1"/>
        <v>#NAME?</v>
      </c>
      <c r="E10" s="438"/>
      <c r="G10" s="125">
        <f t="shared" si="2"/>
        <v>0.35</v>
      </c>
      <c r="I10" s="141"/>
      <c r="J10" s="126" t="s">
        <v>948</v>
      </c>
      <c r="L10" s="415" t="s">
        <v>949</v>
      </c>
      <c r="M10" s="413">
        <v>6</v>
      </c>
      <c r="N10" s="413">
        <v>24</v>
      </c>
      <c r="O10" s="413"/>
      <c r="U10" s="288"/>
      <c r="V10" s="287"/>
      <c r="W10" s="287"/>
      <c r="X10" s="287"/>
      <c r="Y10" s="287"/>
      <c r="Z10" s="287"/>
      <c r="AA10" s="287"/>
      <c r="AB10" s="287"/>
      <c r="AC10" s="287"/>
      <c r="AD10" s="344"/>
      <c r="AE10" s="287"/>
      <c r="AF10" s="287"/>
      <c r="AG10" s="287"/>
      <c r="AH10" s="325"/>
      <c r="AI10" s="17"/>
      <c r="AK10" s="17" t="s">
        <v>950</v>
      </c>
    </row>
    <row r="11" spans="1:42" ht="16.5" thickBot="1">
      <c r="A11" s="132" t="s">
        <v>951</v>
      </c>
      <c r="B11" s="133">
        <v>9</v>
      </c>
      <c r="C11" s="134" t="e">
        <f t="shared" si="0"/>
        <v>#NAME?</v>
      </c>
      <c r="D11" s="135" t="e">
        <f t="shared" si="1"/>
        <v>#NAME?</v>
      </c>
      <c r="E11" s="438"/>
      <c r="G11" s="125">
        <f t="shared" si="2"/>
        <v>0.39999999999999997</v>
      </c>
      <c r="I11" s="143"/>
      <c r="J11" s="126" t="s">
        <v>952</v>
      </c>
      <c r="L11" s="415"/>
      <c r="M11" s="413"/>
      <c r="N11" s="413"/>
      <c r="O11" s="413"/>
      <c r="U11" s="288"/>
      <c r="V11" s="287"/>
      <c r="W11" s="287"/>
      <c r="X11" s="287"/>
      <c r="Y11" s="287"/>
      <c r="Z11" s="287"/>
      <c r="AA11" s="287"/>
      <c r="AB11" s="287"/>
      <c r="AC11" s="287"/>
      <c r="AD11" s="344"/>
      <c r="AE11" s="287"/>
      <c r="AF11" s="287"/>
      <c r="AG11" s="287"/>
      <c r="AH11" s="325"/>
      <c r="AI11" s="17"/>
      <c r="AK11" s="17" t="s">
        <v>953</v>
      </c>
    </row>
    <row r="12" spans="1:42" ht="16.5" thickBot="1">
      <c r="A12" s="136" t="s">
        <v>954</v>
      </c>
      <c r="B12" s="137">
        <v>12</v>
      </c>
      <c r="C12" s="138" t="e">
        <f t="shared" si="0"/>
        <v>#NAME?</v>
      </c>
      <c r="D12" s="139" t="e">
        <f t="shared" si="1"/>
        <v>#NAME?</v>
      </c>
      <c r="E12" s="438"/>
      <c r="G12" s="125">
        <f t="shared" si="2"/>
        <v>0.44999999999999996</v>
      </c>
      <c r="J12" s="141" t="s">
        <v>955</v>
      </c>
      <c r="L12" s="415"/>
      <c r="M12" s="413"/>
      <c r="N12" s="413"/>
      <c r="O12" s="413"/>
      <c r="U12" s="288"/>
      <c r="V12" s="287"/>
      <c r="W12" s="287"/>
      <c r="X12" s="287"/>
      <c r="Y12" s="287"/>
      <c r="Z12" s="287"/>
      <c r="AA12" s="287"/>
      <c r="AB12" s="287"/>
      <c r="AC12" s="287"/>
      <c r="AD12" s="344"/>
      <c r="AE12" s="287"/>
      <c r="AF12" s="287"/>
      <c r="AG12" s="287"/>
      <c r="AH12" s="325"/>
      <c r="AI12" s="17"/>
      <c r="AK12" s="17" t="s">
        <v>956</v>
      </c>
    </row>
    <row r="13" spans="1:42">
      <c r="A13" s="128" t="s">
        <v>957</v>
      </c>
      <c r="B13" s="129">
        <v>12</v>
      </c>
      <c r="C13" s="130" t="e">
        <f t="shared" si="0"/>
        <v>#NAME?</v>
      </c>
      <c r="D13" s="131" t="e">
        <f t="shared" si="1"/>
        <v>#NAME?</v>
      </c>
      <c r="E13" s="438"/>
      <c r="G13" s="125">
        <f t="shared" si="2"/>
        <v>0.49999999999999994</v>
      </c>
      <c r="J13" s="141" t="s">
        <v>958</v>
      </c>
      <c r="L13" s="415"/>
      <c r="M13" s="413"/>
      <c r="N13" s="413"/>
      <c r="O13" s="413"/>
      <c r="U13" s="288"/>
      <c r="V13" s="287"/>
      <c r="W13" s="287"/>
      <c r="X13" s="287"/>
      <c r="Y13" s="287"/>
      <c r="Z13" s="287"/>
      <c r="AA13" s="287"/>
      <c r="AB13" s="287"/>
      <c r="AC13" s="287"/>
      <c r="AD13" s="344"/>
      <c r="AE13" s="287"/>
      <c r="AF13" s="287"/>
      <c r="AG13" s="287"/>
      <c r="AH13" s="325"/>
      <c r="AI13" s="17"/>
      <c r="AK13" s="17" t="s">
        <v>959</v>
      </c>
    </row>
    <row r="14" spans="1:42">
      <c r="A14" s="132" t="s">
        <v>960</v>
      </c>
      <c r="B14" s="133">
        <v>11</v>
      </c>
      <c r="C14" s="134" t="e">
        <f t="shared" si="0"/>
        <v>#NAME?</v>
      </c>
      <c r="D14" s="135" t="e">
        <f t="shared" si="1"/>
        <v>#NAME?</v>
      </c>
      <c r="E14" s="438"/>
      <c r="G14" s="125">
        <f t="shared" si="2"/>
        <v>0.54999999999999993</v>
      </c>
      <c r="J14" s="141" t="s">
        <v>961</v>
      </c>
      <c r="L14" s="415"/>
      <c r="M14" s="413"/>
      <c r="N14" s="413"/>
      <c r="O14" s="413"/>
      <c r="U14" s="288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325"/>
      <c r="AI14" s="17"/>
      <c r="AK14" s="17" t="s">
        <v>962</v>
      </c>
    </row>
    <row r="15" spans="1:42" ht="16.5" thickBot="1">
      <c r="A15" s="136" t="s">
        <v>963</v>
      </c>
      <c r="B15" s="137">
        <v>14</v>
      </c>
      <c r="C15" s="138" t="e">
        <f t="shared" si="0"/>
        <v>#NAME?</v>
      </c>
      <c r="D15" s="139" t="e">
        <f t="shared" si="1"/>
        <v>#NAME?</v>
      </c>
      <c r="E15" s="438"/>
      <c r="G15" s="125">
        <f t="shared" si="2"/>
        <v>0.6</v>
      </c>
      <c r="J15" s="141" t="s">
        <v>964</v>
      </c>
      <c r="L15" s="416"/>
      <c r="M15" s="414"/>
      <c r="N15" s="414"/>
      <c r="O15" s="414"/>
      <c r="U15" s="288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325"/>
      <c r="AI15" s="17"/>
      <c r="AK15" s="17" t="s">
        <v>965</v>
      </c>
    </row>
    <row r="16" spans="1:42">
      <c r="A16" s="132"/>
      <c r="B16" s="132"/>
      <c r="C16" s="144"/>
      <c r="D16" s="145"/>
      <c r="E16" s="439"/>
      <c r="G16" s="125">
        <f t="shared" si="2"/>
        <v>0.65</v>
      </c>
      <c r="J16" s="141" t="s">
        <v>966</v>
      </c>
      <c r="U16" s="288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325"/>
      <c r="AI16" s="17"/>
      <c r="AK16" s="17" t="s">
        <v>967</v>
      </c>
    </row>
    <row r="17" spans="1:37" ht="16.5" thickBot="1">
      <c r="A17" s="136"/>
      <c r="B17" s="136"/>
      <c r="C17" s="146"/>
      <c r="D17" s="147"/>
      <c r="E17" s="439"/>
      <c r="G17" s="125">
        <f t="shared" si="2"/>
        <v>0.70000000000000007</v>
      </c>
      <c r="J17" s="141" t="s">
        <v>968</v>
      </c>
      <c r="U17" s="288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325"/>
      <c r="AI17" s="17"/>
      <c r="AK17" s="17" t="s">
        <v>969</v>
      </c>
    </row>
    <row r="18" spans="1:37">
      <c r="G18" s="125">
        <f t="shared" si="2"/>
        <v>0.75000000000000011</v>
      </c>
      <c r="J18" s="141" t="s">
        <v>970</v>
      </c>
      <c r="U18" s="288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325"/>
      <c r="AI18" s="17"/>
      <c r="AK18" s="17" t="s">
        <v>971</v>
      </c>
    </row>
    <row r="19" spans="1:37">
      <c r="A19" s="17" t="s">
        <v>972</v>
      </c>
      <c r="B19" s="148">
        <v>0.5</v>
      </c>
      <c r="G19" s="125">
        <f t="shared" si="2"/>
        <v>0.80000000000000016</v>
      </c>
      <c r="J19" s="141" t="s">
        <v>973</v>
      </c>
      <c r="U19" s="288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325"/>
      <c r="AI19" s="17"/>
      <c r="AK19" s="17" t="s">
        <v>974</v>
      </c>
    </row>
    <row r="20" spans="1:37">
      <c r="A20" s="17" t="s">
        <v>975</v>
      </c>
      <c r="B20" s="148">
        <v>0.2</v>
      </c>
      <c r="G20" s="125">
        <f t="shared" si="2"/>
        <v>0.8500000000000002</v>
      </c>
      <c r="J20" s="141" t="s">
        <v>976</v>
      </c>
      <c r="U20" s="288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325"/>
      <c r="AI20" s="17"/>
      <c r="AK20" s="17" t="s">
        <v>977</v>
      </c>
    </row>
    <row r="21" spans="1:37">
      <c r="G21" s="125">
        <f t="shared" si="2"/>
        <v>0.90000000000000024</v>
      </c>
      <c r="J21" s="141" t="s">
        <v>978</v>
      </c>
      <c r="U21" s="288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325"/>
      <c r="AI21" s="17"/>
      <c r="AK21" s="17" t="s">
        <v>979</v>
      </c>
    </row>
    <row r="22" spans="1:37">
      <c r="G22" s="125">
        <f t="shared" si="2"/>
        <v>0.95000000000000029</v>
      </c>
      <c r="J22" s="141" t="s">
        <v>980</v>
      </c>
      <c r="U22" s="288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325"/>
      <c r="AI22" s="17"/>
      <c r="AK22" s="17" t="s">
        <v>981</v>
      </c>
    </row>
    <row r="23" spans="1:37" ht="16.5" thickBot="1">
      <c r="G23" s="149">
        <f t="shared" si="2"/>
        <v>1.0000000000000002</v>
      </c>
      <c r="J23" s="141" t="s">
        <v>982</v>
      </c>
      <c r="AK23" s="17" t="s">
        <v>983</v>
      </c>
    </row>
    <row r="24" spans="1:37">
      <c r="J24" s="141" t="s">
        <v>984</v>
      </c>
      <c r="AK24" s="17" t="s">
        <v>985</v>
      </c>
    </row>
    <row r="25" spans="1:37">
      <c r="J25" s="141" t="s">
        <v>986</v>
      </c>
      <c r="U25" s="911" t="s">
        <v>987</v>
      </c>
      <c r="V25" s="911"/>
      <c r="W25" s="911"/>
      <c r="X25" s="530" t="s">
        <v>359</v>
      </c>
      <c r="Y25" s="530" t="s">
        <v>172</v>
      </c>
      <c r="Z25" s="530" t="s">
        <v>916</v>
      </c>
      <c r="AA25" s="530" t="s">
        <v>390</v>
      </c>
      <c r="AB25" s="341"/>
      <c r="AC25" s="341"/>
      <c r="AD25" s="341"/>
      <c r="AE25" s="341"/>
      <c r="AK25" s="17" t="s">
        <v>988</v>
      </c>
    </row>
    <row r="26" spans="1:37" ht="15.6" customHeight="1">
      <c r="J26" s="141" t="s">
        <v>989</v>
      </c>
      <c r="U26" s="908" t="s">
        <v>990</v>
      </c>
      <c r="V26" s="908"/>
      <c r="W26" s="908"/>
      <c r="X26" s="526">
        <v>13.9</v>
      </c>
      <c r="Y26" s="526">
        <v>5.6</v>
      </c>
      <c r="Z26" s="526">
        <v>5.49</v>
      </c>
      <c r="AA26" s="526">
        <v>5022</v>
      </c>
      <c r="AB26" s="337"/>
      <c r="AC26" s="337"/>
      <c r="AD26" s="337"/>
      <c r="AE26" s="337"/>
      <c r="AK26" s="17" t="s">
        <v>991</v>
      </c>
    </row>
    <row r="27" spans="1:37" ht="15.6" customHeight="1">
      <c r="J27" s="141" t="s">
        <v>992</v>
      </c>
      <c r="U27" s="907" t="s">
        <v>993</v>
      </c>
      <c r="V27" s="907"/>
      <c r="W27" s="907"/>
      <c r="X27" s="527">
        <v>5.6</v>
      </c>
      <c r="Y27" s="527">
        <v>2.5499999999999998</v>
      </c>
      <c r="Z27" s="527">
        <v>2.79</v>
      </c>
      <c r="AA27" s="527">
        <v>5183</v>
      </c>
      <c r="AB27" s="342"/>
      <c r="AC27" s="342"/>
      <c r="AD27" s="342"/>
      <c r="AE27" s="342"/>
      <c r="AK27" s="17" t="s">
        <v>994</v>
      </c>
    </row>
    <row r="28" spans="1:37" ht="15.6" customHeight="1">
      <c r="J28" s="141" t="s">
        <v>995</v>
      </c>
      <c r="U28" s="908" t="s">
        <v>996</v>
      </c>
      <c r="V28" s="908"/>
      <c r="W28" s="908"/>
      <c r="X28" s="526">
        <v>4.93</v>
      </c>
      <c r="Y28" s="526" t="s">
        <v>997</v>
      </c>
      <c r="Z28" s="526">
        <v>1.83</v>
      </c>
      <c r="AA28" s="526">
        <v>5190</v>
      </c>
      <c r="AB28" s="337"/>
      <c r="AC28" s="337"/>
      <c r="AD28" s="337"/>
      <c r="AE28" s="337"/>
      <c r="AK28" s="17" t="s">
        <v>998</v>
      </c>
    </row>
    <row r="29" spans="1:37" ht="15.6" customHeight="1">
      <c r="J29" s="141" t="s">
        <v>999</v>
      </c>
      <c r="U29" s="908" t="s">
        <v>1000</v>
      </c>
      <c r="V29" s="908"/>
      <c r="W29" s="908"/>
      <c r="X29" s="526">
        <v>8.81</v>
      </c>
      <c r="Y29" s="526">
        <v>4.25</v>
      </c>
      <c r="Z29" s="526">
        <v>3.72</v>
      </c>
      <c r="AA29" s="526">
        <v>5221</v>
      </c>
      <c r="AB29" s="337"/>
      <c r="AC29" s="337"/>
      <c r="AD29" s="337"/>
      <c r="AE29" s="337"/>
      <c r="AK29" s="17" t="s">
        <v>1001</v>
      </c>
    </row>
    <row r="30" spans="1:37" ht="16.149999999999999" customHeight="1" thickBot="1">
      <c r="J30" s="143" t="s">
        <v>36</v>
      </c>
      <c r="U30" s="908" t="s">
        <v>1002</v>
      </c>
      <c r="V30" s="908"/>
      <c r="W30" s="908"/>
      <c r="X30" s="526">
        <v>10.45</v>
      </c>
      <c r="Y30" s="526">
        <v>4.75</v>
      </c>
      <c r="Z30" s="526">
        <v>3.78</v>
      </c>
      <c r="AA30" s="526">
        <v>5403</v>
      </c>
      <c r="AB30" s="337"/>
      <c r="AC30" s="337"/>
      <c r="AD30" s="337"/>
      <c r="AE30" s="337"/>
      <c r="AK30" s="17" t="s">
        <v>1003</v>
      </c>
    </row>
    <row r="31" spans="1:37" ht="15.6" customHeight="1">
      <c r="U31" s="908" t="s">
        <v>1004</v>
      </c>
      <c r="V31" s="908"/>
      <c r="W31" s="908"/>
      <c r="X31" s="526">
        <v>13.4</v>
      </c>
      <c r="Y31" s="526">
        <v>6.83</v>
      </c>
      <c r="Z31" s="526">
        <v>4.37</v>
      </c>
      <c r="AA31" s="526">
        <v>5472</v>
      </c>
      <c r="AB31" s="337"/>
      <c r="AC31" s="337"/>
      <c r="AD31" s="337"/>
      <c r="AE31" s="337"/>
      <c r="AK31" s="17" t="s">
        <v>1005</v>
      </c>
    </row>
    <row r="32" spans="1:37" ht="15.6" customHeight="1">
      <c r="U32" s="908" t="s">
        <v>1006</v>
      </c>
      <c r="V32" s="908"/>
      <c r="W32" s="908"/>
      <c r="X32" s="526">
        <v>15.84</v>
      </c>
      <c r="Y32" s="526">
        <v>5.94</v>
      </c>
      <c r="Z32" s="526">
        <v>6.61</v>
      </c>
      <c r="AA32" s="526">
        <v>5473</v>
      </c>
      <c r="AB32" s="337"/>
      <c r="AC32" s="337"/>
      <c r="AD32" s="337"/>
      <c r="AE32" s="337"/>
      <c r="AK32" s="17" t="s">
        <v>1007</v>
      </c>
    </row>
    <row r="33" spans="21:37">
      <c r="U33" s="908" t="s">
        <v>1008</v>
      </c>
      <c r="V33" s="908"/>
      <c r="W33" s="908"/>
      <c r="X33" s="526">
        <v>8.34</v>
      </c>
      <c r="Y33" s="526">
        <v>4.18</v>
      </c>
      <c r="Z33" s="526">
        <v>4.41</v>
      </c>
      <c r="AA33" s="526">
        <v>5474</v>
      </c>
      <c r="AB33" s="337"/>
      <c r="AC33" s="337"/>
      <c r="AD33" s="337"/>
      <c r="AE33" s="337"/>
      <c r="AK33" s="17" t="s">
        <v>1009</v>
      </c>
    </row>
    <row r="34" spans="21:37" ht="15.6" customHeight="1">
      <c r="U34" s="908" t="s">
        <v>1010</v>
      </c>
      <c r="V34" s="908"/>
      <c r="W34" s="908"/>
      <c r="X34" s="526">
        <v>6.49</v>
      </c>
      <c r="Y34" s="526">
        <v>2.85</v>
      </c>
      <c r="Z34" s="526">
        <v>2.4900000000000002</v>
      </c>
      <c r="AA34" s="526">
        <v>5478</v>
      </c>
      <c r="AB34" s="337"/>
      <c r="AC34" s="337"/>
      <c r="AD34" s="337"/>
      <c r="AE34" s="337"/>
      <c r="AK34" s="17" t="s">
        <v>1011</v>
      </c>
    </row>
    <row r="35" spans="21:37" ht="15.6" customHeight="1">
      <c r="U35" s="910" t="s">
        <v>1012</v>
      </c>
      <c r="V35" s="910"/>
      <c r="W35" s="910"/>
      <c r="X35" s="529">
        <v>8.4700000000000006</v>
      </c>
      <c r="Y35" s="529">
        <v>4.13</v>
      </c>
      <c r="Z35" s="529">
        <v>5.39</v>
      </c>
      <c r="AA35" s="338">
        <v>5479</v>
      </c>
      <c r="AB35" s="343"/>
      <c r="AC35" s="343"/>
      <c r="AD35" s="343"/>
      <c r="AE35" s="343"/>
      <c r="AK35" s="17" t="s">
        <v>1013</v>
      </c>
    </row>
    <row r="36" spans="21:37" ht="15.6" customHeight="1">
      <c r="U36" s="907" t="s">
        <v>1014</v>
      </c>
      <c r="V36" s="907"/>
      <c r="W36" s="907"/>
      <c r="X36" s="527">
        <v>1.56</v>
      </c>
      <c r="Y36" s="527">
        <v>0.7</v>
      </c>
      <c r="Z36" s="527">
        <v>0.89</v>
      </c>
      <c r="AA36" s="527">
        <v>5606</v>
      </c>
      <c r="AB36" s="342"/>
      <c r="AC36" s="342"/>
      <c r="AD36" s="342"/>
      <c r="AE36" s="342"/>
      <c r="AK36" s="17" t="s">
        <v>1015</v>
      </c>
    </row>
    <row r="37" spans="21:37" ht="15.6" customHeight="1">
      <c r="U37" s="908" t="s">
        <v>1016</v>
      </c>
      <c r="V37" s="908"/>
      <c r="W37" s="908"/>
      <c r="X37" s="526">
        <v>7.33</v>
      </c>
      <c r="Y37" s="526">
        <v>3.45</v>
      </c>
      <c r="Z37" s="526">
        <v>3.44</v>
      </c>
      <c r="AA37" s="526">
        <v>5610</v>
      </c>
      <c r="AB37" s="337"/>
      <c r="AC37" s="337"/>
      <c r="AD37" s="337"/>
      <c r="AE37" s="337"/>
      <c r="AK37" s="17" t="s">
        <v>1017</v>
      </c>
    </row>
    <row r="38" spans="21:37">
      <c r="U38" s="908" t="s">
        <v>1018</v>
      </c>
      <c r="V38" s="908"/>
      <c r="W38" s="908"/>
      <c r="X38" s="526">
        <v>7.41</v>
      </c>
      <c r="Y38" s="526">
        <v>4.74</v>
      </c>
      <c r="Z38" s="526">
        <v>4.74</v>
      </c>
      <c r="AA38" s="526">
        <v>6217</v>
      </c>
      <c r="AB38" s="337"/>
      <c r="AC38" s="337"/>
      <c r="AD38" s="337"/>
      <c r="AE38" s="337"/>
      <c r="AK38" s="17" t="s">
        <v>1019</v>
      </c>
    </row>
    <row r="39" spans="21:37" ht="15.6" customHeight="1">
      <c r="U39" s="908" t="s">
        <v>1020</v>
      </c>
      <c r="V39" s="908"/>
      <c r="W39" s="908"/>
      <c r="X39" s="526">
        <v>6.32</v>
      </c>
      <c r="Y39" s="526" t="s">
        <v>997</v>
      </c>
      <c r="Z39" s="526">
        <v>3.52</v>
      </c>
      <c r="AA39" s="526">
        <v>8227</v>
      </c>
      <c r="AB39" s="337"/>
      <c r="AC39" s="337"/>
      <c r="AD39" s="337"/>
      <c r="AE39" s="337"/>
      <c r="AK39" s="17"/>
    </row>
    <row r="40" spans="21:37">
      <c r="U40" s="907" t="s">
        <v>1021</v>
      </c>
      <c r="V40" s="907"/>
      <c r="W40" s="907"/>
      <c r="X40" s="527">
        <v>0.42</v>
      </c>
      <c r="Y40" s="527">
        <v>0.13</v>
      </c>
      <c r="Z40" s="527">
        <v>0.42</v>
      </c>
      <c r="AA40" s="527">
        <v>8742</v>
      </c>
      <c r="AB40" s="342"/>
      <c r="AC40" s="342"/>
      <c r="AD40" s="342"/>
      <c r="AE40" s="342"/>
      <c r="AK40" s="17"/>
    </row>
    <row r="41" spans="21:37">
      <c r="U41" s="907" t="s">
        <v>1022</v>
      </c>
      <c r="V41" s="907"/>
      <c r="W41" s="907"/>
      <c r="X41" s="527">
        <v>0.17</v>
      </c>
      <c r="Y41" s="527">
        <v>5.8999999999999997E-2</v>
      </c>
      <c r="Z41" s="527" t="s">
        <v>997</v>
      </c>
      <c r="AA41" s="527">
        <v>8810</v>
      </c>
      <c r="AB41" s="342"/>
      <c r="AC41" s="342"/>
      <c r="AD41" s="342"/>
      <c r="AE41" s="342"/>
      <c r="AK41" s="17"/>
    </row>
    <row r="42" spans="21:37" ht="15.6" customHeight="1">
      <c r="U42" s="908" t="s">
        <v>1023</v>
      </c>
      <c r="V42" s="908"/>
      <c r="W42" s="908"/>
      <c r="X42" s="526">
        <v>17.739999999999998</v>
      </c>
      <c r="Y42" s="526">
        <v>11.01</v>
      </c>
      <c r="Z42" s="526">
        <v>6.86</v>
      </c>
      <c r="AA42" s="526">
        <v>9403</v>
      </c>
      <c r="AB42" s="337"/>
      <c r="AC42" s="337"/>
      <c r="AD42" s="337"/>
      <c r="AE42" s="337"/>
      <c r="AK42" s="17"/>
    </row>
    <row r="43" spans="21:37">
      <c r="AK43" s="17"/>
    </row>
    <row r="44" spans="21:37">
      <c r="AK44" s="17"/>
    </row>
    <row r="45" spans="21:37">
      <c r="AK45" s="17"/>
    </row>
    <row r="46" spans="21:37">
      <c r="AK46" s="17"/>
    </row>
  </sheetData>
  <sortState xmlns:xlrd2="http://schemas.microsoft.com/office/spreadsheetml/2017/richdata2" ref="AK4:AK38">
    <sortCondition ref="AK38"/>
  </sortState>
  <mergeCells count="22">
    <mergeCell ref="U26:W26"/>
    <mergeCell ref="U27:W27"/>
    <mergeCell ref="U28:W28"/>
    <mergeCell ref="AL2:AP2"/>
    <mergeCell ref="AL1:AP1"/>
    <mergeCell ref="X1:Y1"/>
    <mergeCell ref="U41:W41"/>
    <mergeCell ref="U42:W42"/>
    <mergeCell ref="Z1:AB1"/>
    <mergeCell ref="U29:W29"/>
    <mergeCell ref="U30:W30"/>
    <mergeCell ref="U31:W31"/>
    <mergeCell ref="U32:W32"/>
    <mergeCell ref="U33:W33"/>
    <mergeCell ref="U34:W34"/>
    <mergeCell ref="U37:W37"/>
    <mergeCell ref="U38:W38"/>
    <mergeCell ref="U39:W39"/>
    <mergeCell ref="U40:W40"/>
    <mergeCell ref="U35:W35"/>
    <mergeCell ref="U36:W36"/>
    <mergeCell ref="U25:W25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E23A-3BFB-4A68-9797-6DF3A047C7B7}">
  <dimension ref="A1:AN251"/>
  <sheetViews>
    <sheetView workbookViewId="0">
      <pane xSplit="3" ySplit="1" topLeftCell="F2" activePane="bottomRight" state="frozenSplit"/>
      <selection pane="bottomRight" activeCell="J2" sqref="J2:J400"/>
      <selection pane="bottomLeft" activeCell="J2" sqref="J2:J400"/>
      <selection pane="topRight" activeCell="J2" sqref="J2:J400"/>
    </sheetView>
  </sheetViews>
  <sheetFormatPr defaultColWidth="10" defaultRowHeight="15"/>
  <cols>
    <col min="1" max="40" width="32.7109375" style="154" customWidth="1"/>
    <col min="41" max="16384" width="10" style="154"/>
  </cols>
  <sheetData>
    <row r="1" spans="1:40" s="152" customFormat="1" ht="45">
      <c r="A1" s="150" t="s">
        <v>1024</v>
      </c>
      <c r="B1" s="150" t="s">
        <v>1025</v>
      </c>
      <c r="C1" s="150" t="s">
        <v>0</v>
      </c>
      <c r="D1" s="150" t="s">
        <v>71</v>
      </c>
      <c r="E1" s="150" t="s">
        <v>1026</v>
      </c>
      <c r="F1" s="150" t="s">
        <v>33</v>
      </c>
      <c r="G1" s="150" t="s">
        <v>32</v>
      </c>
      <c r="H1" s="150" t="s">
        <v>69</v>
      </c>
      <c r="I1" s="150" t="s">
        <v>1027</v>
      </c>
      <c r="J1" s="150" t="s">
        <v>1028</v>
      </c>
      <c r="K1" s="150" t="s">
        <v>1029</v>
      </c>
      <c r="L1" s="150" t="s">
        <v>1030</v>
      </c>
      <c r="M1" s="150" t="s">
        <v>1031</v>
      </c>
      <c r="N1" s="150" t="s">
        <v>1032</v>
      </c>
      <c r="O1" s="150" t="s">
        <v>1033</v>
      </c>
      <c r="P1" s="150" t="s">
        <v>1034</v>
      </c>
      <c r="Q1" s="150" t="s">
        <v>1035</v>
      </c>
      <c r="R1" s="150" t="s">
        <v>1036</v>
      </c>
      <c r="S1" s="150" t="s">
        <v>1037</v>
      </c>
      <c r="T1" s="150" t="s">
        <v>1038</v>
      </c>
      <c r="U1" s="150" t="s">
        <v>1039</v>
      </c>
      <c r="V1" s="150" t="s">
        <v>1040</v>
      </c>
      <c r="W1" s="150" t="s">
        <v>1041</v>
      </c>
      <c r="X1" s="150" t="s">
        <v>1042</v>
      </c>
      <c r="Y1" s="150" t="s">
        <v>1043</v>
      </c>
      <c r="Z1" s="150" t="s">
        <v>1044</v>
      </c>
      <c r="AA1" s="151" t="s">
        <v>1045</v>
      </c>
      <c r="AB1" s="151" t="s">
        <v>1046</v>
      </c>
      <c r="AC1" s="151" t="s">
        <v>1047</v>
      </c>
      <c r="AD1" s="151" t="s">
        <v>1048</v>
      </c>
      <c r="AE1" s="151" t="s">
        <v>1049</v>
      </c>
      <c r="AF1" s="151" t="s">
        <v>1050</v>
      </c>
      <c r="AG1" s="151" t="s">
        <v>1051</v>
      </c>
      <c r="AH1" s="151" t="s">
        <v>1052</v>
      </c>
      <c r="AI1" s="151" t="s">
        <v>1053</v>
      </c>
      <c r="AJ1" s="151" t="s">
        <v>1054</v>
      </c>
      <c r="AK1" s="151" t="s">
        <v>1055</v>
      </c>
      <c r="AL1" s="151" t="s">
        <v>1056</v>
      </c>
      <c r="AM1" s="151" t="s">
        <v>1057</v>
      </c>
      <c r="AN1" s="151" t="s">
        <v>1058</v>
      </c>
    </row>
    <row r="2" spans="1:40">
      <c r="A2" s="153">
        <v>475</v>
      </c>
      <c r="B2" s="153" t="s">
        <v>1059</v>
      </c>
      <c r="C2" s="153" t="s">
        <v>1060</v>
      </c>
      <c r="D2" s="153" t="s">
        <v>1061</v>
      </c>
      <c r="E2" s="153" t="s">
        <v>1062</v>
      </c>
      <c r="F2" s="153" t="s">
        <v>1063</v>
      </c>
      <c r="G2" s="153" t="s">
        <v>1064</v>
      </c>
      <c r="H2" s="153" t="s">
        <v>1065</v>
      </c>
      <c r="I2" s="153" t="s">
        <v>1066</v>
      </c>
      <c r="J2" s="153" t="s">
        <v>359</v>
      </c>
      <c r="K2" s="153">
        <v>20705</v>
      </c>
      <c r="L2" s="153" t="s">
        <v>1067</v>
      </c>
      <c r="M2" s="153"/>
      <c r="N2" s="153" t="s">
        <v>1068</v>
      </c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 t="s">
        <v>1069</v>
      </c>
      <c r="AI2" s="153"/>
      <c r="AJ2" s="153"/>
      <c r="AK2" s="153"/>
      <c r="AL2" s="153"/>
      <c r="AM2" s="153"/>
      <c r="AN2" s="153"/>
    </row>
    <row r="3" spans="1:40">
      <c r="A3" s="153">
        <v>116</v>
      </c>
      <c r="B3" s="153" t="s">
        <v>1059</v>
      </c>
      <c r="C3" s="153" t="s">
        <v>1070</v>
      </c>
      <c r="D3" s="153">
        <v>4103822420</v>
      </c>
      <c r="E3" s="153" t="s">
        <v>1071</v>
      </c>
      <c r="F3" s="153" t="s">
        <v>1072</v>
      </c>
      <c r="G3" s="153"/>
      <c r="H3" s="153" t="s">
        <v>1073</v>
      </c>
      <c r="I3" s="153" t="s">
        <v>1074</v>
      </c>
      <c r="J3" s="153" t="s">
        <v>359</v>
      </c>
      <c r="K3" s="153">
        <v>21211</v>
      </c>
      <c r="L3" s="153" t="s">
        <v>1067</v>
      </c>
      <c r="M3" s="153"/>
      <c r="N3" s="153" t="s">
        <v>1068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</row>
    <row r="4" spans="1:40">
      <c r="A4" s="153">
        <v>476</v>
      </c>
      <c r="B4" s="153" t="s">
        <v>1059</v>
      </c>
      <c r="C4" s="153" t="s">
        <v>1075</v>
      </c>
      <c r="D4" s="153" t="s">
        <v>1076</v>
      </c>
      <c r="E4" s="153" t="s">
        <v>1077</v>
      </c>
      <c r="F4" s="153" t="s">
        <v>1078</v>
      </c>
      <c r="G4" s="153"/>
      <c r="H4" s="153" t="s">
        <v>1079</v>
      </c>
      <c r="I4" s="153" t="s">
        <v>1080</v>
      </c>
      <c r="J4" s="153" t="s">
        <v>359</v>
      </c>
      <c r="K4" s="153">
        <v>20736</v>
      </c>
      <c r="L4" s="153" t="s">
        <v>1067</v>
      </c>
      <c r="M4" s="153"/>
      <c r="N4" s="153" t="s">
        <v>1068</v>
      </c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 t="s">
        <v>1069</v>
      </c>
      <c r="AI4" s="153"/>
      <c r="AJ4" s="153"/>
      <c r="AK4" s="153"/>
      <c r="AL4" s="153"/>
      <c r="AM4" s="153"/>
      <c r="AN4" s="153"/>
    </row>
    <row r="5" spans="1:40">
      <c r="A5" s="153">
        <v>10</v>
      </c>
      <c r="B5" s="153" t="s">
        <v>1059</v>
      </c>
      <c r="C5" s="153" t="s">
        <v>1081</v>
      </c>
      <c r="D5" s="153" t="s">
        <v>1082</v>
      </c>
      <c r="E5" s="153" t="s">
        <v>1083</v>
      </c>
      <c r="F5" s="153" t="s">
        <v>1084</v>
      </c>
      <c r="G5" s="153" t="s">
        <v>1085</v>
      </c>
      <c r="H5" s="153" t="s">
        <v>1086</v>
      </c>
      <c r="I5" s="153" t="s">
        <v>1087</v>
      </c>
      <c r="J5" s="153" t="s">
        <v>359</v>
      </c>
      <c r="K5" s="153">
        <v>20743</v>
      </c>
      <c r="L5" s="153" t="s">
        <v>1088</v>
      </c>
      <c r="M5" s="153"/>
      <c r="N5" s="153" t="s">
        <v>1068</v>
      </c>
      <c r="O5" s="153"/>
      <c r="P5" s="153"/>
      <c r="Q5" s="153" t="s">
        <v>33</v>
      </c>
      <c r="R5" s="153"/>
      <c r="S5" s="153"/>
      <c r="T5" s="153"/>
      <c r="U5" s="153" t="s">
        <v>92</v>
      </c>
      <c r="V5" s="153" t="s">
        <v>92</v>
      </c>
      <c r="W5" s="153" t="s">
        <v>1089</v>
      </c>
      <c r="X5" s="153" t="s">
        <v>92</v>
      </c>
      <c r="Y5" s="153" t="s">
        <v>92</v>
      </c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 t="s">
        <v>1090</v>
      </c>
      <c r="AK5" s="153" t="s">
        <v>1091</v>
      </c>
      <c r="AL5" s="153"/>
      <c r="AM5" s="153"/>
      <c r="AN5" s="153"/>
    </row>
    <row r="6" spans="1:40">
      <c r="A6" s="153">
        <v>165</v>
      </c>
      <c r="B6" s="153" t="s">
        <v>1059</v>
      </c>
      <c r="C6" s="153" t="s">
        <v>1092</v>
      </c>
      <c r="D6" s="153">
        <v>2026081349</v>
      </c>
      <c r="E6" s="153" t="s">
        <v>1093</v>
      </c>
      <c r="F6" s="153" t="s">
        <v>1094</v>
      </c>
      <c r="G6" s="153"/>
      <c r="H6" s="153" t="s">
        <v>1095</v>
      </c>
      <c r="I6" s="153" t="s">
        <v>1096</v>
      </c>
      <c r="J6" s="153" t="s">
        <v>172</v>
      </c>
      <c r="K6" s="153">
        <v>20003</v>
      </c>
      <c r="L6" s="153" t="s">
        <v>1067</v>
      </c>
      <c r="M6" s="153"/>
      <c r="N6" s="153" t="s">
        <v>1068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</row>
    <row r="7" spans="1:40">
      <c r="A7" s="153">
        <v>44</v>
      </c>
      <c r="B7" s="153" t="s">
        <v>1059</v>
      </c>
      <c r="C7" s="153" t="s">
        <v>1097</v>
      </c>
      <c r="D7" s="153">
        <v>5713596194</v>
      </c>
      <c r="E7" s="153" t="s">
        <v>1098</v>
      </c>
      <c r="F7" s="153" t="s">
        <v>1099</v>
      </c>
      <c r="G7" s="153"/>
      <c r="H7" s="153" t="s">
        <v>1100</v>
      </c>
      <c r="I7" s="153" t="s">
        <v>1101</v>
      </c>
      <c r="J7" s="153" t="s">
        <v>359</v>
      </c>
      <c r="K7" s="153">
        <v>20109</v>
      </c>
      <c r="L7" s="153" t="s">
        <v>1067</v>
      </c>
      <c r="M7" s="153"/>
      <c r="N7" s="153" t="s">
        <v>1068</v>
      </c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</row>
    <row r="8" spans="1:40">
      <c r="A8" s="153">
        <v>388</v>
      </c>
      <c r="B8" s="153" t="s">
        <v>1059</v>
      </c>
      <c r="C8" s="153" t="s">
        <v>1102</v>
      </c>
      <c r="D8" s="153" t="s">
        <v>1103</v>
      </c>
      <c r="E8" s="153"/>
      <c r="F8" s="153"/>
      <c r="G8" s="153"/>
      <c r="H8" s="153"/>
      <c r="I8" s="153"/>
      <c r="J8" s="153"/>
      <c r="K8" s="153"/>
      <c r="L8" s="153" t="s">
        <v>1067</v>
      </c>
      <c r="M8" s="153"/>
      <c r="N8" s="153" t="s">
        <v>1068</v>
      </c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 t="s">
        <v>1104</v>
      </c>
      <c r="AL8" s="153"/>
      <c r="AM8" s="153"/>
      <c r="AN8" s="153"/>
    </row>
    <row r="9" spans="1:40">
      <c r="A9" s="153">
        <v>45</v>
      </c>
      <c r="B9" s="153" t="s">
        <v>1059</v>
      </c>
      <c r="C9" s="153" t="s">
        <v>1105</v>
      </c>
      <c r="D9" s="153" t="s">
        <v>1106</v>
      </c>
      <c r="E9" s="153" t="s">
        <v>1107</v>
      </c>
      <c r="F9" s="153" t="s">
        <v>1108</v>
      </c>
      <c r="G9" s="153"/>
      <c r="H9" s="153" t="s">
        <v>1109</v>
      </c>
      <c r="I9" s="153" t="s">
        <v>1110</v>
      </c>
      <c r="J9" s="153" t="s">
        <v>359</v>
      </c>
      <c r="K9" s="153">
        <v>20855</v>
      </c>
      <c r="L9" s="153" t="s">
        <v>1111</v>
      </c>
      <c r="M9" s="153"/>
      <c r="N9" s="153" t="s">
        <v>1068</v>
      </c>
      <c r="O9" s="153"/>
      <c r="P9" s="153"/>
      <c r="Q9" s="153" t="s">
        <v>33</v>
      </c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</row>
    <row r="10" spans="1:40">
      <c r="A10" s="153">
        <v>342</v>
      </c>
      <c r="B10" s="153" t="s">
        <v>1059</v>
      </c>
      <c r="C10" s="153" t="s">
        <v>1112</v>
      </c>
      <c r="D10" s="153" t="s">
        <v>1113</v>
      </c>
      <c r="E10" s="153" t="s">
        <v>1114</v>
      </c>
      <c r="F10" s="153" t="s">
        <v>1115</v>
      </c>
      <c r="G10" s="153"/>
      <c r="H10" s="153" t="s">
        <v>1116</v>
      </c>
      <c r="I10" s="153" t="s">
        <v>1117</v>
      </c>
      <c r="J10" s="153" t="s">
        <v>916</v>
      </c>
      <c r="K10" s="153">
        <v>22312</v>
      </c>
      <c r="L10" s="153" t="s">
        <v>1067</v>
      </c>
      <c r="M10" s="153"/>
      <c r="N10" s="153" t="s">
        <v>1068</v>
      </c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</row>
    <row r="11" spans="1:40">
      <c r="A11" s="153">
        <v>48</v>
      </c>
      <c r="B11" s="153" t="s">
        <v>1059</v>
      </c>
      <c r="C11" s="153" t="s">
        <v>1118</v>
      </c>
      <c r="D11" s="153" t="s">
        <v>1119</v>
      </c>
      <c r="E11" s="153" t="s">
        <v>1120</v>
      </c>
      <c r="F11" s="153" t="s">
        <v>1121</v>
      </c>
      <c r="G11" s="153"/>
      <c r="H11" s="153" t="s">
        <v>1122</v>
      </c>
      <c r="I11" s="153" t="s">
        <v>1101</v>
      </c>
      <c r="J11" s="153" t="s">
        <v>916</v>
      </c>
      <c r="K11" s="153">
        <v>20109</v>
      </c>
      <c r="L11" s="153" t="s">
        <v>1123</v>
      </c>
      <c r="M11" s="153"/>
      <c r="N11" s="153" t="s">
        <v>1068</v>
      </c>
      <c r="O11" s="153"/>
      <c r="P11" s="153"/>
      <c r="Q11" s="153" t="s">
        <v>33</v>
      </c>
      <c r="R11" s="153"/>
      <c r="S11" s="153"/>
      <c r="T11" s="153"/>
      <c r="U11" s="153" t="s">
        <v>92</v>
      </c>
      <c r="V11" s="153" t="s">
        <v>92</v>
      </c>
      <c r="W11" s="153" t="s">
        <v>1089</v>
      </c>
      <c r="X11" s="153" t="s">
        <v>92</v>
      </c>
      <c r="Y11" s="153" t="s">
        <v>92</v>
      </c>
      <c r="Z11" s="153" t="s">
        <v>77</v>
      </c>
      <c r="AA11" s="153"/>
      <c r="AB11" s="153"/>
      <c r="AC11" s="153"/>
      <c r="AD11" s="153"/>
      <c r="AE11" s="153"/>
      <c r="AF11" s="153"/>
      <c r="AG11" s="153" t="s">
        <v>92</v>
      </c>
      <c r="AH11" s="153"/>
      <c r="AI11" s="153"/>
      <c r="AJ11" s="153" t="s">
        <v>1090</v>
      </c>
      <c r="AK11" s="153"/>
      <c r="AL11" s="153"/>
      <c r="AM11" s="153"/>
      <c r="AN11" s="153"/>
    </row>
    <row r="12" spans="1:40">
      <c r="A12" s="153">
        <v>124</v>
      </c>
      <c r="B12" s="153" t="s">
        <v>1059</v>
      </c>
      <c r="C12" s="153" t="s">
        <v>1124</v>
      </c>
      <c r="D12" s="153" t="s">
        <v>1125</v>
      </c>
      <c r="E12" s="153" t="s">
        <v>1126</v>
      </c>
      <c r="F12" s="153" t="s">
        <v>1127</v>
      </c>
      <c r="G12" s="153"/>
      <c r="H12" s="153" t="s">
        <v>1128</v>
      </c>
      <c r="I12" s="153" t="s">
        <v>1129</v>
      </c>
      <c r="J12" s="153" t="s">
        <v>359</v>
      </c>
      <c r="K12" s="153">
        <v>21136</v>
      </c>
      <c r="L12" s="153" t="s">
        <v>1130</v>
      </c>
      <c r="M12" s="153"/>
      <c r="N12" s="153" t="s">
        <v>1068</v>
      </c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</row>
    <row r="13" spans="1:40">
      <c r="A13" s="153">
        <v>161</v>
      </c>
      <c r="B13" s="153" t="s">
        <v>1059</v>
      </c>
      <c r="C13" s="153" t="s">
        <v>1131</v>
      </c>
      <c r="D13" s="153" t="s">
        <v>1132</v>
      </c>
      <c r="E13" s="153" t="s">
        <v>1133</v>
      </c>
      <c r="F13" s="153" t="s">
        <v>1134</v>
      </c>
      <c r="G13" s="153"/>
      <c r="H13" s="153" t="s">
        <v>1135</v>
      </c>
      <c r="I13" s="153" t="s">
        <v>1136</v>
      </c>
      <c r="J13" s="153" t="s">
        <v>359</v>
      </c>
      <c r="K13" s="153">
        <v>21244</v>
      </c>
      <c r="L13" s="153" t="s">
        <v>1137</v>
      </c>
      <c r="M13" s="153"/>
      <c r="N13" s="153" t="s">
        <v>1068</v>
      </c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</row>
    <row r="14" spans="1:40">
      <c r="A14" s="153">
        <v>170</v>
      </c>
      <c r="B14" s="153" t="s">
        <v>1059</v>
      </c>
      <c r="C14" s="153" t="s">
        <v>1138</v>
      </c>
      <c r="D14" s="153">
        <v>2673770536</v>
      </c>
      <c r="E14" s="153" t="s">
        <v>1139</v>
      </c>
      <c r="F14" s="153"/>
      <c r="G14" s="153"/>
      <c r="H14" s="153" t="s">
        <v>1140</v>
      </c>
      <c r="I14" s="153" t="s">
        <v>1141</v>
      </c>
      <c r="J14" s="153" t="s">
        <v>916</v>
      </c>
      <c r="K14" s="153">
        <v>20166</v>
      </c>
      <c r="L14" s="153" t="s">
        <v>1142</v>
      </c>
      <c r="M14" s="153"/>
      <c r="N14" s="153" t="s">
        <v>1068</v>
      </c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</row>
    <row r="15" spans="1:40">
      <c r="A15" s="153">
        <v>395</v>
      </c>
      <c r="B15" s="153" t="s">
        <v>1059</v>
      </c>
      <c r="C15" s="153" t="s">
        <v>1143</v>
      </c>
      <c r="D15" s="153" t="s">
        <v>1144</v>
      </c>
      <c r="E15" s="153" t="s">
        <v>1139</v>
      </c>
      <c r="F15" s="153"/>
      <c r="G15" s="153"/>
      <c r="H15" s="153" t="s">
        <v>1145</v>
      </c>
      <c r="I15" s="153" t="s">
        <v>1146</v>
      </c>
      <c r="J15" s="153" t="s">
        <v>916</v>
      </c>
      <c r="K15" s="153">
        <v>22153</v>
      </c>
      <c r="L15" s="153" t="s">
        <v>1147</v>
      </c>
      <c r="M15" s="153"/>
      <c r="N15" s="153" t="s">
        <v>1068</v>
      </c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</row>
    <row r="16" spans="1:40">
      <c r="A16" s="153">
        <v>157</v>
      </c>
      <c r="B16" s="153" t="s">
        <v>1059</v>
      </c>
      <c r="C16" s="153" t="s">
        <v>1148</v>
      </c>
      <c r="D16" s="153" t="s">
        <v>1149</v>
      </c>
      <c r="E16" s="153" t="s">
        <v>1150</v>
      </c>
      <c r="F16" s="153" t="s">
        <v>1151</v>
      </c>
      <c r="G16" s="153"/>
      <c r="H16" s="153" t="s">
        <v>1152</v>
      </c>
      <c r="I16" s="153" t="s">
        <v>1096</v>
      </c>
      <c r="J16" s="153" t="s">
        <v>172</v>
      </c>
      <c r="K16" s="153">
        <v>20002</v>
      </c>
      <c r="L16" s="153" t="s">
        <v>1067</v>
      </c>
      <c r="M16" s="153"/>
      <c r="N16" s="153" t="s">
        <v>1068</v>
      </c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</row>
    <row r="17" spans="1:40">
      <c r="A17" s="153">
        <v>477</v>
      </c>
      <c r="B17" s="153" t="s">
        <v>1059</v>
      </c>
      <c r="C17" s="153" t="s">
        <v>1153</v>
      </c>
      <c r="D17" s="153" t="s">
        <v>1154</v>
      </c>
      <c r="E17" s="153" t="s">
        <v>1155</v>
      </c>
      <c r="F17" s="153" t="s">
        <v>1156</v>
      </c>
      <c r="G17" s="153"/>
      <c r="H17" s="153" t="s">
        <v>1157</v>
      </c>
      <c r="I17" s="153" t="s">
        <v>1158</v>
      </c>
      <c r="J17" s="153" t="s">
        <v>1159</v>
      </c>
      <c r="K17" s="153">
        <v>80919</v>
      </c>
      <c r="L17" s="153" t="s">
        <v>1067</v>
      </c>
      <c r="M17" s="153"/>
      <c r="N17" s="153" t="s">
        <v>1068</v>
      </c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 t="s">
        <v>1069</v>
      </c>
      <c r="AI17" s="153"/>
      <c r="AJ17" s="153"/>
      <c r="AK17" s="153"/>
      <c r="AL17" s="153"/>
      <c r="AM17" s="153"/>
      <c r="AN17" s="153"/>
    </row>
    <row r="18" spans="1:40">
      <c r="A18" s="153">
        <v>393</v>
      </c>
      <c r="B18" s="153" t="s">
        <v>1059</v>
      </c>
      <c r="C18" s="153" t="s">
        <v>1160</v>
      </c>
      <c r="D18" s="153">
        <v>2762443322</v>
      </c>
      <c r="E18" s="153"/>
      <c r="F18" s="153"/>
      <c r="G18" s="153"/>
      <c r="H18" s="153" t="s">
        <v>1161</v>
      </c>
      <c r="I18" s="153" t="s">
        <v>1162</v>
      </c>
      <c r="J18" s="153" t="s">
        <v>916</v>
      </c>
      <c r="K18" s="153">
        <v>20191</v>
      </c>
      <c r="L18" s="153" t="s">
        <v>1067</v>
      </c>
      <c r="M18" s="153"/>
      <c r="N18" s="153" t="s">
        <v>1068</v>
      </c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</row>
    <row r="19" spans="1:40">
      <c r="A19" s="153">
        <v>24</v>
      </c>
      <c r="B19" s="153" t="s">
        <v>1059</v>
      </c>
      <c r="C19" s="153" t="s">
        <v>1163</v>
      </c>
      <c r="D19" s="153" t="s">
        <v>1164</v>
      </c>
      <c r="E19" s="153" t="s">
        <v>1165</v>
      </c>
      <c r="F19" s="153" t="s">
        <v>1166</v>
      </c>
      <c r="G19" s="153"/>
      <c r="H19" s="153" t="s">
        <v>1167</v>
      </c>
      <c r="I19" s="153" t="s">
        <v>1168</v>
      </c>
      <c r="J19" s="153" t="s">
        <v>359</v>
      </c>
      <c r="K19" s="153">
        <v>20769</v>
      </c>
      <c r="L19" s="153" t="s">
        <v>1169</v>
      </c>
      <c r="M19" s="153"/>
      <c r="N19" s="153" t="s">
        <v>1068</v>
      </c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</row>
    <row r="20" spans="1:40">
      <c r="A20" s="153">
        <v>110</v>
      </c>
      <c r="B20" s="153" t="s">
        <v>1059</v>
      </c>
      <c r="C20" s="153" t="s">
        <v>1170</v>
      </c>
      <c r="D20" s="153" t="s">
        <v>1171</v>
      </c>
      <c r="E20" s="153" t="s">
        <v>1172</v>
      </c>
      <c r="F20" s="153" t="s">
        <v>1173</v>
      </c>
      <c r="G20" s="153"/>
      <c r="H20" s="153" t="s">
        <v>1174</v>
      </c>
      <c r="I20" s="153" t="s">
        <v>1175</v>
      </c>
      <c r="J20" s="153" t="s">
        <v>359</v>
      </c>
      <c r="K20" s="153">
        <v>20708</v>
      </c>
      <c r="L20" s="153" t="s">
        <v>1176</v>
      </c>
      <c r="M20" s="153"/>
      <c r="N20" s="153" t="s">
        <v>1068</v>
      </c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</row>
    <row r="21" spans="1:40">
      <c r="A21" s="153">
        <v>255</v>
      </c>
      <c r="B21" s="153" t="s">
        <v>1059</v>
      </c>
      <c r="C21" s="153" t="s">
        <v>1177</v>
      </c>
      <c r="D21" s="153">
        <v>7035506957</v>
      </c>
      <c r="E21" s="153" t="s">
        <v>1178</v>
      </c>
      <c r="F21" s="153" t="s">
        <v>1179</v>
      </c>
      <c r="G21" s="153"/>
      <c r="H21" s="153" t="s">
        <v>1180</v>
      </c>
      <c r="I21" s="153" t="s">
        <v>1181</v>
      </c>
      <c r="J21" s="153" t="s">
        <v>916</v>
      </c>
      <c r="K21" s="153">
        <v>22079</v>
      </c>
      <c r="L21" s="153" t="s">
        <v>1182</v>
      </c>
      <c r="M21" s="153"/>
      <c r="N21" s="153" t="s">
        <v>1068</v>
      </c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</row>
    <row r="22" spans="1:40">
      <c r="A22" s="153">
        <v>54</v>
      </c>
      <c r="B22" s="153" t="s">
        <v>1059</v>
      </c>
      <c r="C22" s="153" t="s">
        <v>1183</v>
      </c>
      <c r="D22" s="153">
        <v>4104525601</v>
      </c>
      <c r="E22" s="153" t="s">
        <v>1184</v>
      </c>
      <c r="F22" s="153" t="s">
        <v>1185</v>
      </c>
      <c r="G22" s="153"/>
      <c r="H22" s="153" t="s">
        <v>1186</v>
      </c>
      <c r="I22" s="153" t="s">
        <v>1187</v>
      </c>
      <c r="J22" s="153" t="s">
        <v>359</v>
      </c>
      <c r="K22" s="153">
        <v>21050</v>
      </c>
      <c r="L22" s="153" t="s">
        <v>1188</v>
      </c>
      <c r="M22" s="153"/>
      <c r="N22" s="153" t="s">
        <v>1068</v>
      </c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</row>
    <row r="23" spans="1:40">
      <c r="A23" s="153">
        <v>266</v>
      </c>
      <c r="B23" s="153" t="s">
        <v>1059</v>
      </c>
      <c r="C23" s="153" t="s">
        <v>1189</v>
      </c>
      <c r="D23" s="153"/>
      <c r="E23" s="153" t="s">
        <v>1190</v>
      </c>
      <c r="F23" s="153" t="s">
        <v>1191</v>
      </c>
      <c r="G23" s="153"/>
      <c r="H23" s="153"/>
      <c r="I23" s="153"/>
      <c r="J23" s="153"/>
      <c r="K23" s="153"/>
      <c r="L23" s="153" t="s">
        <v>1192</v>
      </c>
      <c r="M23" s="153"/>
      <c r="N23" s="153" t="s">
        <v>1068</v>
      </c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</row>
    <row r="24" spans="1:40">
      <c r="A24" s="153">
        <v>31</v>
      </c>
      <c r="B24" s="153" t="s">
        <v>1059</v>
      </c>
      <c r="C24" s="153" t="s">
        <v>1193</v>
      </c>
      <c r="D24" s="153">
        <v>4106284215</v>
      </c>
      <c r="E24" s="153" t="s">
        <v>1194</v>
      </c>
      <c r="F24" s="153" t="s">
        <v>1195</v>
      </c>
      <c r="G24" s="153"/>
      <c r="H24" s="153" t="s">
        <v>1196</v>
      </c>
      <c r="I24" s="153" t="s">
        <v>1197</v>
      </c>
      <c r="J24" s="153" t="s">
        <v>359</v>
      </c>
      <c r="K24" s="153">
        <v>21030</v>
      </c>
      <c r="L24" s="153" t="s">
        <v>1198</v>
      </c>
      <c r="M24" s="153"/>
      <c r="N24" s="153" t="s">
        <v>1068</v>
      </c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</row>
    <row r="25" spans="1:40">
      <c r="A25" s="153">
        <v>58</v>
      </c>
      <c r="B25" s="153" t="s">
        <v>1059</v>
      </c>
      <c r="C25" s="153" t="s">
        <v>1199</v>
      </c>
      <c r="D25" s="153">
        <v>2025875787</v>
      </c>
      <c r="E25" s="153" t="s">
        <v>1200</v>
      </c>
      <c r="F25" s="153" t="s">
        <v>1201</v>
      </c>
      <c r="G25" s="153"/>
      <c r="H25" s="153" t="s">
        <v>1202</v>
      </c>
      <c r="I25" s="153" t="s">
        <v>1096</v>
      </c>
      <c r="J25" s="153" t="s">
        <v>172</v>
      </c>
      <c r="K25" s="153">
        <v>20001</v>
      </c>
      <c r="L25" s="153" t="s">
        <v>1067</v>
      </c>
      <c r="M25" s="153"/>
      <c r="N25" s="153" t="s">
        <v>1068</v>
      </c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</row>
    <row r="26" spans="1:40">
      <c r="A26" s="153">
        <v>63</v>
      </c>
      <c r="B26" s="153" t="s">
        <v>1059</v>
      </c>
      <c r="C26" s="153" t="s">
        <v>1203</v>
      </c>
      <c r="D26" s="153">
        <v>4104266080</v>
      </c>
      <c r="E26" s="153"/>
      <c r="F26" s="153"/>
      <c r="G26" s="153"/>
      <c r="H26" s="153" t="s">
        <v>1204</v>
      </c>
      <c r="I26" s="153" t="s">
        <v>1074</v>
      </c>
      <c r="J26" s="153" t="s">
        <v>359</v>
      </c>
      <c r="K26" s="153">
        <v>21214</v>
      </c>
      <c r="L26" s="153" t="s">
        <v>1067</v>
      </c>
      <c r="M26" s="153"/>
      <c r="N26" s="153" t="s">
        <v>1068</v>
      </c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</row>
    <row r="27" spans="1:40">
      <c r="A27" s="153">
        <v>154</v>
      </c>
      <c r="B27" s="153" t="s">
        <v>1059</v>
      </c>
      <c r="C27" s="153" t="s">
        <v>1205</v>
      </c>
      <c r="D27" s="153" t="s">
        <v>1206</v>
      </c>
      <c r="E27" s="153" t="s">
        <v>1207</v>
      </c>
      <c r="F27" s="153" t="s">
        <v>1208</v>
      </c>
      <c r="G27" s="153"/>
      <c r="H27" s="153" t="s">
        <v>1209</v>
      </c>
      <c r="I27" s="153" t="s">
        <v>1210</v>
      </c>
      <c r="J27" s="153" t="s">
        <v>359</v>
      </c>
      <c r="K27" s="153">
        <v>20905</v>
      </c>
      <c r="L27" s="153" t="s">
        <v>1067</v>
      </c>
      <c r="M27" s="153"/>
      <c r="N27" s="153" t="s">
        <v>1068</v>
      </c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</row>
    <row r="28" spans="1:40">
      <c r="A28" s="153">
        <v>21</v>
      </c>
      <c r="B28" s="153" t="s">
        <v>1059</v>
      </c>
      <c r="C28" s="153" t="s">
        <v>1211</v>
      </c>
      <c r="D28" s="153">
        <v>7034772650</v>
      </c>
      <c r="E28" s="153" t="s">
        <v>1212</v>
      </c>
      <c r="F28" s="153" t="s">
        <v>1213</v>
      </c>
      <c r="G28" s="153"/>
      <c r="H28" s="153" t="s">
        <v>1214</v>
      </c>
      <c r="I28" s="153" t="s">
        <v>1141</v>
      </c>
      <c r="J28" s="153" t="s">
        <v>916</v>
      </c>
      <c r="K28" s="153">
        <v>20166</v>
      </c>
      <c r="L28" s="153" t="s">
        <v>1215</v>
      </c>
      <c r="M28" s="153"/>
      <c r="N28" s="153" t="s">
        <v>1068</v>
      </c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</row>
    <row r="29" spans="1:40">
      <c r="A29" s="153">
        <v>59</v>
      </c>
      <c r="B29" s="153" t="s">
        <v>1059</v>
      </c>
      <c r="C29" s="153" t="s">
        <v>1216</v>
      </c>
      <c r="D29" s="153" t="s">
        <v>1217</v>
      </c>
      <c r="E29" s="153" t="s">
        <v>1218</v>
      </c>
      <c r="F29" s="153" t="s">
        <v>1219</v>
      </c>
      <c r="G29" s="153"/>
      <c r="H29" s="153" t="s">
        <v>1220</v>
      </c>
      <c r="I29" s="153" t="s">
        <v>1074</v>
      </c>
      <c r="J29" s="153" t="s">
        <v>359</v>
      </c>
      <c r="K29" s="153">
        <v>21226</v>
      </c>
      <c r="L29" s="153" t="s">
        <v>1067</v>
      </c>
      <c r="M29" s="153"/>
      <c r="N29" s="153" t="s">
        <v>1068</v>
      </c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</row>
    <row r="30" spans="1:40">
      <c r="A30" s="153">
        <v>232</v>
      </c>
      <c r="B30" s="153" t="s">
        <v>1059</v>
      </c>
      <c r="C30" s="153" t="s">
        <v>1221</v>
      </c>
      <c r="D30" s="153">
        <v>4107883535</v>
      </c>
      <c r="E30" s="153" t="s">
        <v>1222</v>
      </c>
      <c r="F30" s="153" t="s">
        <v>1223</v>
      </c>
      <c r="G30" s="153"/>
      <c r="H30" s="153" t="s">
        <v>1224</v>
      </c>
      <c r="I30" s="153" t="s">
        <v>1225</v>
      </c>
      <c r="J30" s="153" t="s">
        <v>359</v>
      </c>
      <c r="K30" s="153">
        <v>21228</v>
      </c>
      <c r="L30" s="153" t="s">
        <v>1067</v>
      </c>
      <c r="M30" s="153"/>
      <c r="N30" s="153" t="s">
        <v>1068</v>
      </c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</row>
    <row r="31" spans="1:40">
      <c r="A31" s="153">
        <v>65</v>
      </c>
      <c r="B31" s="153" t="s">
        <v>1059</v>
      </c>
      <c r="C31" s="153" t="s">
        <v>1226</v>
      </c>
      <c r="D31" s="153">
        <v>4104833312</v>
      </c>
      <c r="E31" s="153" t="s">
        <v>1227</v>
      </c>
      <c r="F31" s="153" t="s">
        <v>1228</v>
      </c>
      <c r="G31" s="153"/>
      <c r="H31" s="153" t="s">
        <v>1229</v>
      </c>
      <c r="I31" s="153" t="s">
        <v>1230</v>
      </c>
      <c r="J31" s="153" t="s">
        <v>359</v>
      </c>
      <c r="K31" s="153">
        <v>21237</v>
      </c>
      <c r="L31" s="153" t="s">
        <v>1231</v>
      </c>
      <c r="M31" s="153"/>
      <c r="N31" s="153" t="s">
        <v>1068</v>
      </c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</row>
    <row r="32" spans="1:40">
      <c r="A32" s="153">
        <v>87</v>
      </c>
      <c r="B32" s="153" t="s">
        <v>1059</v>
      </c>
      <c r="C32" s="153" t="s">
        <v>1232</v>
      </c>
      <c r="D32" s="153" t="s">
        <v>1233</v>
      </c>
      <c r="E32" s="153" t="s">
        <v>1234</v>
      </c>
      <c r="F32" s="153" t="s">
        <v>1235</v>
      </c>
      <c r="G32" s="153"/>
      <c r="H32" s="153" t="s">
        <v>1236</v>
      </c>
      <c r="I32" s="153" t="s">
        <v>1237</v>
      </c>
      <c r="J32" s="153" t="s">
        <v>916</v>
      </c>
      <c r="K32" s="153">
        <v>22802</v>
      </c>
      <c r="L32" s="153" t="s">
        <v>1067</v>
      </c>
      <c r="M32" s="153"/>
      <c r="N32" s="153" t="s">
        <v>1068</v>
      </c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</row>
    <row r="33" spans="1:40">
      <c r="A33" s="153">
        <v>70</v>
      </c>
      <c r="B33" s="153" t="s">
        <v>1059</v>
      </c>
      <c r="C33" s="153" t="s">
        <v>1238</v>
      </c>
      <c r="D33" s="153">
        <v>4438326020</v>
      </c>
      <c r="E33" s="153" t="s">
        <v>1239</v>
      </c>
      <c r="F33" s="153" t="s">
        <v>1240</v>
      </c>
      <c r="G33" s="153"/>
      <c r="H33" s="153" t="s">
        <v>1241</v>
      </c>
      <c r="I33" s="153" t="s">
        <v>1074</v>
      </c>
      <c r="J33" s="153" t="s">
        <v>359</v>
      </c>
      <c r="K33" s="153">
        <v>21230</v>
      </c>
      <c r="L33" s="153" t="s">
        <v>1242</v>
      </c>
      <c r="M33" s="153"/>
      <c r="N33" s="153" t="s">
        <v>1068</v>
      </c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</row>
    <row r="34" spans="1:40">
      <c r="A34" s="153">
        <v>211</v>
      </c>
      <c r="B34" s="153" t="s">
        <v>1059</v>
      </c>
      <c r="C34" s="153" t="s">
        <v>1243</v>
      </c>
      <c r="D34" s="153" t="s">
        <v>1244</v>
      </c>
      <c r="E34" s="153" t="s">
        <v>1139</v>
      </c>
      <c r="F34" s="153"/>
      <c r="G34" s="153"/>
      <c r="H34" s="153" t="s">
        <v>1245</v>
      </c>
      <c r="I34" s="153" t="s">
        <v>1246</v>
      </c>
      <c r="J34" s="153" t="s">
        <v>359</v>
      </c>
      <c r="K34" s="153">
        <v>21740</v>
      </c>
      <c r="L34" s="153" t="s">
        <v>1067</v>
      </c>
      <c r="M34" s="153"/>
      <c r="N34" s="153" t="s">
        <v>1068</v>
      </c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</row>
    <row r="35" spans="1:40">
      <c r="A35" s="153">
        <v>72</v>
      </c>
      <c r="B35" s="153" t="s">
        <v>1059</v>
      </c>
      <c r="C35" s="153" t="s">
        <v>1247</v>
      </c>
      <c r="D35" s="153">
        <v>4101167677</v>
      </c>
      <c r="E35" s="153" t="s">
        <v>1248</v>
      </c>
      <c r="F35" s="153" t="s">
        <v>1249</v>
      </c>
      <c r="G35" s="153"/>
      <c r="H35" s="153" t="s">
        <v>1250</v>
      </c>
      <c r="I35" s="153" t="s">
        <v>1074</v>
      </c>
      <c r="J35" s="153" t="s">
        <v>359</v>
      </c>
      <c r="K35" s="153">
        <v>21213</v>
      </c>
      <c r="L35" s="153" t="s">
        <v>1067</v>
      </c>
      <c r="M35" s="153"/>
      <c r="N35" s="153" t="s">
        <v>1068</v>
      </c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</row>
    <row r="36" spans="1:40">
      <c r="A36" s="153">
        <v>75</v>
      </c>
      <c r="B36" s="153" t="s">
        <v>1059</v>
      </c>
      <c r="C36" s="153" t="s">
        <v>1251</v>
      </c>
      <c r="D36" s="153" t="s">
        <v>1252</v>
      </c>
      <c r="E36" s="153" t="s">
        <v>1253</v>
      </c>
      <c r="F36" s="153" t="s">
        <v>1254</v>
      </c>
      <c r="G36" s="153"/>
      <c r="H36" s="153" t="s">
        <v>1255</v>
      </c>
      <c r="I36" s="153" t="s">
        <v>1256</v>
      </c>
      <c r="J36" s="153" t="s">
        <v>359</v>
      </c>
      <c r="K36" s="153">
        <v>21146</v>
      </c>
      <c r="L36" s="153" t="s">
        <v>1257</v>
      </c>
      <c r="M36" s="153"/>
      <c r="N36" s="153" t="s">
        <v>1068</v>
      </c>
      <c r="O36" s="153"/>
      <c r="P36" s="153"/>
      <c r="Q36" s="153" t="s">
        <v>33</v>
      </c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</row>
    <row r="37" spans="1:40">
      <c r="A37" s="153">
        <v>349</v>
      </c>
      <c r="B37" s="153" t="s">
        <v>1059</v>
      </c>
      <c r="C37" s="153" t="s">
        <v>1258</v>
      </c>
      <c r="D37" s="153">
        <v>3019489040</v>
      </c>
      <c r="E37" s="153" t="s">
        <v>1259</v>
      </c>
      <c r="F37" s="153" t="s">
        <v>1260</v>
      </c>
      <c r="G37" s="153"/>
      <c r="H37" s="153" t="s">
        <v>1261</v>
      </c>
      <c r="I37" s="153" t="s">
        <v>1262</v>
      </c>
      <c r="J37" s="153" t="s">
        <v>359</v>
      </c>
      <c r="K37" s="153">
        <v>20879</v>
      </c>
      <c r="L37" s="153" t="s">
        <v>1263</v>
      </c>
      <c r="M37" s="153"/>
      <c r="N37" s="153" t="s">
        <v>1068</v>
      </c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</row>
    <row r="38" spans="1:40">
      <c r="A38" s="153">
        <v>78</v>
      </c>
      <c r="B38" s="153" t="s">
        <v>1059</v>
      </c>
      <c r="C38" s="153" t="s">
        <v>1264</v>
      </c>
      <c r="D38" s="153">
        <v>7033311400</v>
      </c>
      <c r="E38" s="153" t="s">
        <v>1265</v>
      </c>
      <c r="F38" s="153" t="s">
        <v>1266</v>
      </c>
      <c r="G38" s="153"/>
      <c r="H38" s="153" t="s">
        <v>1267</v>
      </c>
      <c r="I38" s="153" t="s">
        <v>1101</v>
      </c>
      <c r="J38" s="153" t="s">
        <v>916</v>
      </c>
      <c r="K38" s="153">
        <v>20109</v>
      </c>
      <c r="L38" s="153" t="s">
        <v>1268</v>
      </c>
      <c r="M38" s="153"/>
      <c r="N38" s="153" t="s">
        <v>1068</v>
      </c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</row>
    <row r="39" spans="1:40">
      <c r="A39" s="153">
        <v>80</v>
      </c>
      <c r="B39" s="153" t="s">
        <v>1059</v>
      </c>
      <c r="C39" s="153" t="s">
        <v>1269</v>
      </c>
      <c r="D39" s="153" t="s">
        <v>1270</v>
      </c>
      <c r="E39" s="153" t="s">
        <v>1271</v>
      </c>
      <c r="F39" s="153" t="s">
        <v>1272</v>
      </c>
      <c r="G39" s="153"/>
      <c r="H39" s="153" t="s">
        <v>1273</v>
      </c>
      <c r="I39" s="153" t="s">
        <v>1274</v>
      </c>
      <c r="J39" s="153" t="s">
        <v>1275</v>
      </c>
      <c r="K39" s="153">
        <v>25428</v>
      </c>
      <c r="L39" s="153" t="s">
        <v>1067</v>
      </c>
      <c r="M39" s="153"/>
      <c r="N39" s="153" t="s">
        <v>1068</v>
      </c>
      <c r="O39" s="153"/>
      <c r="P39" s="153"/>
      <c r="Q39" s="153"/>
      <c r="R39" s="153"/>
      <c r="S39" s="153"/>
      <c r="T39" s="153"/>
      <c r="U39" s="153" t="s">
        <v>92</v>
      </c>
      <c r="V39" s="153" t="s">
        <v>77</v>
      </c>
      <c r="W39" s="153" t="s">
        <v>1089</v>
      </c>
      <c r="X39" s="153" t="s">
        <v>77</v>
      </c>
      <c r="Y39" s="153" t="s">
        <v>77</v>
      </c>
      <c r="Z39" s="153" t="s">
        <v>77</v>
      </c>
      <c r="AA39" s="153"/>
      <c r="AB39" s="153"/>
      <c r="AC39" s="153"/>
      <c r="AD39" s="153"/>
      <c r="AE39" s="153"/>
      <c r="AF39" s="153"/>
      <c r="AG39" s="153" t="s">
        <v>92</v>
      </c>
      <c r="AH39" s="153" t="s">
        <v>1276</v>
      </c>
      <c r="AI39" s="153" t="s">
        <v>1277</v>
      </c>
      <c r="AJ39" s="153" t="s">
        <v>1090</v>
      </c>
      <c r="AK39" s="153"/>
      <c r="AL39" s="153"/>
      <c r="AM39" s="153"/>
      <c r="AN39" s="153"/>
    </row>
    <row r="40" spans="1:40">
      <c r="A40" s="153">
        <v>82</v>
      </c>
      <c r="B40" s="153" t="s">
        <v>1059</v>
      </c>
      <c r="C40" s="153" t="s">
        <v>1278</v>
      </c>
      <c r="D40" s="153" t="s">
        <v>1279</v>
      </c>
      <c r="E40" s="153" t="s">
        <v>1280</v>
      </c>
      <c r="F40" s="153" t="s">
        <v>1281</v>
      </c>
      <c r="G40" s="153"/>
      <c r="H40" s="153" t="s">
        <v>1282</v>
      </c>
      <c r="I40" s="153" t="s">
        <v>1087</v>
      </c>
      <c r="J40" s="153" t="s">
        <v>359</v>
      </c>
      <c r="K40" s="153">
        <v>20743</v>
      </c>
      <c r="L40" s="153" t="s">
        <v>1283</v>
      </c>
      <c r="M40" s="153"/>
      <c r="N40" s="153" t="s">
        <v>1068</v>
      </c>
      <c r="O40" s="153"/>
      <c r="P40" s="153"/>
      <c r="Q40" s="153"/>
      <c r="R40" s="153"/>
      <c r="S40" s="153"/>
      <c r="T40" s="153"/>
      <c r="U40" s="153" t="s">
        <v>92</v>
      </c>
      <c r="V40" s="153" t="s">
        <v>77</v>
      </c>
      <c r="W40" s="153" t="s">
        <v>1089</v>
      </c>
      <c r="X40" s="153" t="s">
        <v>77</v>
      </c>
      <c r="Y40" s="153" t="s">
        <v>77</v>
      </c>
      <c r="Z40" s="153" t="s">
        <v>77</v>
      </c>
      <c r="AA40" s="153"/>
      <c r="AB40" s="153"/>
      <c r="AC40" s="153"/>
      <c r="AD40" s="153"/>
      <c r="AE40" s="153"/>
      <c r="AF40" s="153"/>
      <c r="AG40" s="153" t="s">
        <v>92</v>
      </c>
      <c r="AH40" s="153" t="s">
        <v>1276</v>
      </c>
      <c r="AI40" s="153" t="s">
        <v>1284</v>
      </c>
      <c r="AJ40" s="153" t="s">
        <v>1090</v>
      </c>
      <c r="AK40" s="153"/>
      <c r="AL40" s="153"/>
      <c r="AM40" s="153"/>
      <c r="AN40" s="153"/>
    </row>
    <row r="41" spans="1:40">
      <c r="A41" s="153">
        <v>317</v>
      </c>
      <c r="B41" s="153" t="s">
        <v>1059</v>
      </c>
      <c r="C41" s="153" t="s">
        <v>1285</v>
      </c>
      <c r="D41" s="153" t="s">
        <v>1286</v>
      </c>
      <c r="E41" s="153" t="s">
        <v>1139</v>
      </c>
      <c r="F41" s="153"/>
      <c r="G41" s="153"/>
      <c r="H41" s="153" t="s">
        <v>1287</v>
      </c>
      <c r="I41" s="153" t="s">
        <v>1141</v>
      </c>
      <c r="J41" s="153" t="s">
        <v>916</v>
      </c>
      <c r="K41" s="153">
        <v>20166</v>
      </c>
      <c r="L41" s="153" t="s">
        <v>1288</v>
      </c>
      <c r="M41" s="153"/>
      <c r="N41" s="153" t="s">
        <v>1068</v>
      </c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</row>
    <row r="42" spans="1:40">
      <c r="A42" s="153">
        <v>72</v>
      </c>
      <c r="B42" s="153" t="s">
        <v>1059</v>
      </c>
      <c r="C42" s="153" t="s">
        <v>1289</v>
      </c>
      <c r="D42" s="153" t="s">
        <v>1290</v>
      </c>
      <c r="E42" s="153" t="s">
        <v>1291</v>
      </c>
      <c r="F42" s="153" t="s">
        <v>1292</v>
      </c>
      <c r="G42" s="153" t="s">
        <v>1293</v>
      </c>
      <c r="H42" s="153" t="s">
        <v>1294</v>
      </c>
      <c r="I42" s="153" t="s">
        <v>1101</v>
      </c>
      <c r="J42" s="153" t="s">
        <v>916</v>
      </c>
      <c r="K42" s="153">
        <v>20109</v>
      </c>
      <c r="L42" s="153" t="s">
        <v>1295</v>
      </c>
      <c r="M42" s="153"/>
      <c r="N42" s="153" t="s">
        <v>1068</v>
      </c>
      <c r="O42" s="153"/>
      <c r="P42" s="153"/>
      <c r="Q42" s="153"/>
      <c r="R42" s="153"/>
      <c r="S42" s="153"/>
      <c r="T42" s="153"/>
      <c r="U42" s="153" t="s">
        <v>92</v>
      </c>
      <c r="V42" s="153" t="s">
        <v>77</v>
      </c>
      <c r="W42" s="153" t="s">
        <v>1296</v>
      </c>
      <c r="X42" s="153" t="s">
        <v>77</v>
      </c>
      <c r="Y42" s="153" t="s">
        <v>77</v>
      </c>
      <c r="Z42" s="153" t="s">
        <v>77</v>
      </c>
      <c r="AA42" s="153"/>
      <c r="AB42" s="153"/>
      <c r="AC42" s="153"/>
      <c r="AD42" s="153"/>
      <c r="AE42" s="153"/>
      <c r="AF42" s="153"/>
      <c r="AG42" s="153" t="s">
        <v>92</v>
      </c>
      <c r="AH42" s="153" t="s">
        <v>1276</v>
      </c>
      <c r="AI42" s="153" t="s">
        <v>1277</v>
      </c>
      <c r="AJ42" s="153" t="s">
        <v>1090</v>
      </c>
      <c r="AK42" s="153"/>
      <c r="AL42" s="153"/>
      <c r="AM42" s="153"/>
      <c r="AN42" s="153"/>
    </row>
    <row r="43" spans="1:40">
      <c r="A43" s="153">
        <v>412</v>
      </c>
      <c r="B43" s="153" t="s">
        <v>1059</v>
      </c>
      <c r="C43" s="153" t="s">
        <v>1297</v>
      </c>
      <c r="D43" s="153" t="s">
        <v>1298</v>
      </c>
      <c r="E43" s="153" t="s">
        <v>1299</v>
      </c>
      <c r="F43" s="153" t="s">
        <v>1300</v>
      </c>
      <c r="G43" s="153"/>
      <c r="H43" s="153" t="s">
        <v>1301</v>
      </c>
      <c r="I43" s="153" t="s">
        <v>1101</v>
      </c>
      <c r="J43" s="153" t="s">
        <v>916</v>
      </c>
      <c r="K43" s="153">
        <v>20109</v>
      </c>
      <c r="L43" s="153" t="s">
        <v>1067</v>
      </c>
      <c r="M43" s="153"/>
      <c r="N43" s="153" t="s">
        <v>1068</v>
      </c>
      <c r="O43" s="153"/>
      <c r="P43" s="153"/>
      <c r="Q43" s="153"/>
      <c r="R43" s="153"/>
      <c r="S43" s="153"/>
      <c r="T43" s="153"/>
      <c r="U43" s="153" t="s">
        <v>92</v>
      </c>
      <c r="V43" s="153" t="s">
        <v>77</v>
      </c>
      <c r="W43" s="153" t="s">
        <v>1296</v>
      </c>
      <c r="X43" s="153" t="s">
        <v>77</v>
      </c>
      <c r="Y43" s="153" t="s">
        <v>77</v>
      </c>
      <c r="Z43" s="153" t="s">
        <v>77</v>
      </c>
      <c r="AA43" s="153"/>
      <c r="AB43" s="153"/>
      <c r="AC43" s="153"/>
      <c r="AD43" s="153"/>
      <c r="AE43" s="153"/>
      <c r="AF43" s="153"/>
      <c r="AG43" s="153" t="s">
        <v>92</v>
      </c>
      <c r="AH43" s="153" t="s">
        <v>1276</v>
      </c>
      <c r="AI43" s="153" t="s">
        <v>1284</v>
      </c>
      <c r="AJ43" s="153" t="s">
        <v>1090</v>
      </c>
      <c r="AK43" s="153"/>
      <c r="AL43" s="153"/>
      <c r="AM43" s="153"/>
      <c r="AN43" s="153"/>
    </row>
    <row r="44" spans="1:40">
      <c r="A44" s="153">
        <v>225</v>
      </c>
      <c r="B44" s="153" t="s">
        <v>1059</v>
      </c>
      <c r="C44" s="153" t="s">
        <v>1302</v>
      </c>
      <c r="D44" s="153" t="s">
        <v>1303</v>
      </c>
      <c r="E44" s="153" t="s">
        <v>1304</v>
      </c>
      <c r="F44" s="153" t="s">
        <v>1305</v>
      </c>
      <c r="G44" s="153"/>
      <c r="H44" s="153" t="s">
        <v>1306</v>
      </c>
      <c r="I44" s="153" t="s">
        <v>1181</v>
      </c>
      <c r="J44" s="153" t="s">
        <v>916</v>
      </c>
      <c r="K44" s="153">
        <v>22079</v>
      </c>
      <c r="L44" s="153" t="s">
        <v>1307</v>
      </c>
      <c r="M44" s="153"/>
      <c r="N44" s="153" t="s">
        <v>1068</v>
      </c>
      <c r="O44" s="153"/>
      <c r="P44" s="153"/>
      <c r="Q44" s="153"/>
      <c r="R44" s="153"/>
      <c r="S44" s="153"/>
      <c r="T44" s="153"/>
      <c r="U44" s="153" t="s">
        <v>92</v>
      </c>
      <c r="V44" s="153" t="s">
        <v>77</v>
      </c>
      <c r="W44" s="153" t="s">
        <v>1296</v>
      </c>
      <c r="X44" s="153" t="s">
        <v>77</v>
      </c>
      <c r="Y44" s="153" t="s">
        <v>77</v>
      </c>
      <c r="Z44" s="153" t="s">
        <v>92</v>
      </c>
      <c r="AA44" s="153"/>
      <c r="AB44" s="153"/>
      <c r="AC44" s="153"/>
      <c r="AD44" s="153"/>
      <c r="AE44" s="153"/>
      <c r="AF44" s="153"/>
      <c r="AG44" s="153" t="s">
        <v>92</v>
      </c>
      <c r="AH44" s="153" t="s">
        <v>1276</v>
      </c>
      <c r="AI44" s="153" t="s">
        <v>1277</v>
      </c>
      <c r="AJ44" s="153" t="s">
        <v>1090</v>
      </c>
      <c r="AK44" s="153" t="s">
        <v>1308</v>
      </c>
      <c r="AL44" s="153" t="s">
        <v>1309</v>
      </c>
      <c r="AM44" s="153" t="s">
        <v>77</v>
      </c>
      <c r="AN44" s="153"/>
    </row>
    <row r="45" spans="1:40">
      <c r="A45" s="153">
        <v>91</v>
      </c>
      <c r="B45" s="153" t="s">
        <v>1059</v>
      </c>
      <c r="C45" s="153" t="s">
        <v>1310</v>
      </c>
      <c r="D45" s="153" t="s">
        <v>1311</v>
      </c>
      <c r="E45" s="153" t="s">
        <v>1312</v>
      </c>
      <c r="F45" s="153" t="s">
        <v>1313</v>
      </c>
      <c r="G45" s="153" t="s">
        <v>1314</v>
      </c>
      <c r="H45" s="153" t="s">
        <v>1315</v>
      </c>
      <c r="I45" s="153" t="s">
        <v>1316</v>
      </c>
      <c r="J45" s="153" t="s">
        <v>359</v>
      </c>
      <c r="K45" s="153">
        <v>21286</v>
      </c>
      <c r="L45" s="153" t="s">
        <v>1317</v>
      </c>
      <c r="M45" s="153"/>
      <c r="N45" s="153" t="s">
        <v>1068</v>
      </c>
      <c r="O45" s="153"/>
      <c r="P45" s="153"/>
      <c r="Q45" s="153"/>
      <c r="R45" s="153"/>
      <c r="S45" s="153"/>
      <c r="T45" s="153"/>
      <c r="U45" s="153" t="s">
        <v>92</v>
      </c>
      <c r="V45" s="153" t="s">
        <v>77</v>
      </c>
      <c r="W45" s="153" t="s">
        <v>1296</v>
      </c>
      <c r="X45" s="153" t="s">
        <v>77</v>
      </c>
      <c r="Y45" s="153" t="s">
        <v>77</v>
      </c>
      <c r="Z45" s="153" t="s">
        <v>77</v>
      </c>
      <c r="AA45" s="153"/>
      <c r="AB45" s="153"/>
      <c r="AC45" s="153"/>
      <c r="AD45" s="153"/>
      <c r="AE45" s="153"/>
      <c r="AF45" s="153"/>
      <c r="AG45" s="153" t="s">
        <v>92</v>
      </c>
      <c r="AH45" s="153" t="s">
        <v>1276</v>
      </c>
      <c r="AI45" s="153" t="s">
        <v>1277</v>
      </c>
      <c r="AJ45" s="153" t="s">
        <v>1090</v>
      </c>
      <c r="AK45" s="153"/>
      <c r="AL45" s="153"/>
      <c r="AM45" s="153"/>
      <c r="AN45" s="153"/>
    </row>
    <row r="46" spans="1:40">
      <c r="A46" s="153">
        <v>60</v>
      </c>
      <c r="B46" s="153" t="s">
        <v>1059</v>
      </c>
      <c r="C46" s="153" t="s">
        <v>1318</v>
      </c>
      <c r="D46" s="153"/>
      <c r="E46" s="153" t="s">
        <v>1319</v>
      </c>
      <c r="F46" s="153" t="s">
        <v>1320</v>
      </c>
      <c r="G46" s="153"/>
      <c r="H46" s="153" t="s">
        <v>1321</v>
      </c>
      <c r="I46" s="153" t="s">
        <v>1322</v>
      </c>
      <c r="J46" s="153" t="s">
        <v>1323</v>
      </c>
      <c r="K46" s="153">
        <v>35501</v>
      </c>
      <c r="L46" s="153" t="s">
        <v>1067</v>
      </c>
      <c r="M46" s="153"/>
      <c r="N46" s="153" t="s">
        <v>1068</v>
      </c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</row>
    <row r="47" spans="1:40">
      <c r="A47" s="153">
        <v>92</v>
      </c>
      <c r="B47" s="153" t="s">
        <v>1059</v>
      </c>
      <c r="C47" s="153" t="s">
        <v>1324</v>
      </c>
      <c r="D47" s="153" t="s">
        <v>1325</v>
      </c>
      <c r="E47" s="153" t="s">
        <v>1326</v>
      </c>
      <c r="F47" s="153" t="s">
        <v>1327</v>
      </c>
      <c r="G47" s="153"/>
      <c r="H47" s="153" t="s">
        <v>1328</v>
      </c>
      <c r="I47" s="153" t="s">
        <v>1074</v>
      </c>
      <c r="J47" s="153" t="s">
        <v>359</v>
      </c>
      <c r="K47" s="153">
        <v>21227</v>
      </c>
      <c r="L47" s="153" t="s">
        <v>1067</v>
      </c>
      <c r="M47" s="153"/>
      <c r="N47" s="153" t="s">
        <v>1068</v>
      </c>
      <c r="O47" s="153"/>
      <c r="P47" s="153"/>
      <c r="Q47" s="153"/>
      <c r="R47" s="153"/>
      <c r="S47" s="153"/>
      <c r="T47" s="153"/>
      <c r="U47" s="153" t="s">
        <v>92</v>
      </c>
      <c r="V47" s="153" t="s">
        <v>77</v>
      </c>
      <c r="W47" s="153" t="s">
        <v>1329</v>
      </c>
      <c r="X47" s="153" t="s">
        <v>77</v>
      </c>
      <c r="Y47" s="153" t="s">
        <v>77</v>
      </c>
      <c r="Z47" s="153" t="s">
        <v>92</v>
      </c>
      <c r="AA47" s="153"/>
      <c r="AB47" s="153"/>
      <c r="AC47" s="153"/>
      <c r="AD47" s="153"/>
      <c r="AE47" s="153"/>
      <c r="AF47" s="153"/>
      <c r="AG47" s="153" t="s">
        <v>92</v>
      </c>
      <c r="AH47" s="153" t="s">
        <v>1276</v>
      </c>
      <c r="AI47" s="153" t="s">
        <v>1277</v>
      </c>
      <c r="AJ47" s="153" t="s">
        <v>1090</v>
      </c>
      <c r="AK47" s="153"/>
      <c r="AL47" s="153"/>
      <c r="AM47" s="153"/>
      <c r="AN47" s="153"/>
    </row>
    <row r="48" spans="1:40">
      <c r="A48" s="153">
        <v>150</v>
      </c>
      <c r="B48" s="153" t="s">
        <v>1059</v>
      </c>
      <c r="C48" s="153" t="s">
        <v>1330</v>
      </c>
      <c r="D48" s="153" t="s">
        <v>1331</v>
      </c>
      <c r="E48" s="153" t="s">
        <v>1332</v>
      </c>
      <c r="F48" s="153" t="s">
        <v>1333</v>
      </c>
      <c r="G48" s="153" t="s">
        <v>1334</v>
      </c>
      <c r="H48" s="153" t="s">
        <v>1335</v>
      </c>
      <c r="I48" s="153" t="s">
        <v>1336</v>
      </c>
      <c r="J48" s="153" t="s">
        <v>916</v>
      </c>
      <c r="K48" s="153">
        <v>22405</v>
      </c>
      <c r="L48" s="153" t="s">
        <v>1337</v>
      </c>
      <c r="M48" s="153"/>
      <c r="N48" s="153" t="s">
        <v>1068</v>
      </c>
      <c r="O48" s="153" t="s">
        <v>1338</v>
      </c>
      <c r="P48" s="153"/>
      <c r="Q48" s="153" t="s">
        <v>1339</v>
      </c>
      <c r="R48" s="153"/>
      <c r="S48" s="153"/>
      <c r="T48" s="153"/>
      <c r="U48" s="153" t="s">
        <v>92</v>
      </c>
      <c r="V48" s="153" t="s">
        <v>77</v>
      </c>
      <c r="W48" s="153" t="s">
        <v>1296</v>
      </c>
      <c r="X48" s="153" t="s">
        <v>77</v>
      </c>
      <c r="Y48" s="153" t="s">
        <v>77</v>
      </c>
      <c r="Z48" s="153" t="s">
        <v>92</v>
      </c>
      <c r="AA48" s="153"/>
      <c r="AB48" s="153"/>
      <c r="AC48" s="153"/>
      <c r="AD48" s="153"/>
      <c r="AE48" s="153"/>
      <c r="AF48" s="153"/>
      <c r="AG48" s="153" t="s">
        <v>92</v>
      </c>
      <c r="AH48" s="153" t="s">
        <v>1276</v>
      </c>
      <c r="AI48" s="153" t="s">
        <v>1277</v>
      </c>
      <c r="AJ48" s="153" t="s">
        <v>1090</v>
      </c>
      <c r="AK48" s="153"/>
      <c r="AL48" s="153"/>
      <c r="AM48" s="153" t="s">
        <v>92</v>
      </c>
      <c r="AN48" s="153"/>
    </row>
    <row r="49" spans="1:40">
      <c r="A49" s="153">
        <v>93</v>
      </c>
      <c r="B49" s="153" t="s">
        <v>1059</v>
      </c>
      <c r="C49" s="153" t="s">
        <v>1340</v>
      </c>
      <c r="D49" s="153" t="s">
        <v>1341</v>
      </c>
      <c r="E49" s="153" t="s">
        <v>1342</v>
      </c>
      <c r="F49" s="153" t="s">
        <v>1343</v>
      </c>
      <c r="G49" s="153" t="s">
        <v>1344</v>
      </c>
      <c r="H49" s="153" t="s">
        <v>1345</v>
      </c>
      <c r="I49" s="153" t="s">
        <v>1346</v>
      </c>
      <c r="J49" s="153" t="s">
        <v>359</v>
      </c>
      <c r="K49" s="153">
        <v>20639</v>
      </c>
      <c r="L49" s="153" t="s">
        <v>1347</v>
      </c>
      <c r="M49" s="153"/>
      <c r="N49" s="153" t="s">
        <v>1068</v>
      </c>
      <c r="O49" s="153"/>
      <c r="P49" s="153"/>
      <c r="Q49" s="153"/>
      <c r="R49" s="153"/>
      <c r="S49" s="153"/>
      <c r="T49" s="153"/>
      <c r="U49" s="153"/>
      <c r="V49" s="153" t="s">
        <v>77</v>
      </c>
      <c r="W49" s="153" t="s">
        <v>1296</v>
      </c>
      <c r="X49" s="153" t="s">
        <v>77</v>
      </c>
      <c r="Y49" s="153" t="s">
        <v>77</v>
      </c>
      <c r="Z49" s="153" t="s">
        <v>77</v>
      </c>
      <c r="AA49" s="153"/>
      <c r="AB49" s="153"/>
      <c r="AC49" s="153"/>
      <c r="AD49" s="153"/>
      <c r="AE49" s="153"/>
      <c r="AF49" s="153"/>
      <c r="AG49" s="153" t="s">
        <v>92</v>
      </c>
      <c r="AH49" s="153" t="s">
        <v>1276</v>
      </c>
      <c r="AI49" s="153" t="s">
        <v>1277</v>
      </c>
      <c r="AJ49" s="153" t="s">
        <v>1090</v>
      </c>
      <c r="AK49" s="153"/>
      <c r="AL49" s="153"/>
      <c r="AM49" s="153"/>
      <c r="AN49" s="153"/>
    </row>
    <row r="50" spans="1:40">
      <c r="A50" s="153">
        <v>323</v>
      </c>
      <c r="B50" s="153" t="s">
        <v>1059</v>
      </c>
      <c r="C50" s="153" t="s">
        <v>1348</v>
      </c>
      <c r="D50" s="153" t="s">
        <v>1349</v>
      </c>
      <c r="E50" s="153" t="s">
        <v>1350</v>
      </c>
      <c r="F50" s="153" t="s">
        <v>1351</v>
      </c>
      <c r="G50" s="153"/>
      <c r="H50" s="153" t="s">
        <v>1352</v>
      </c>
      <c r="I50" s="153" t="s">
        <v>1096</v>
      </c>
      <c r="J50" s="153" t="s">
        <v>172</v>
      </c>
      <c r="K50" s="153">
        <v>20007</v>
      </c>
      <c r="L50" s="153" t="s">
        <v>1353</v>
      </c>
      <c r="M50" s="153"/>
      <c r="N50" s="153" t="s">
        <v>1089</v>
      </c>
      <c r="O50" s="153"/>
      <c r="P50" s="153"/>
      <c r="Q50" s="153"/>
      <c r="R50" s="153"/>
      <c r="S50" s="153"/>
      <c r="T50" s="153"/>
      <c r="U50" s="153" t="s">
        <v>92</v>
      </c>
      <c r="V50" s="153" t="s">
        <v>77</v>
      </c>
      <c r="W50" s="153" t="s">
        <v>1329</v>
      </c>
      <c r="X50" s="153" t="s">
        <v>77</v>
      </c>
      <c r="Y50" s="153" t="s">
        <v>77</v>
      </c>
      <c r="Z50" s="153" t="s">
        <v>77</v>
      </c>
      <c r="AA50" s="153"/>
      <c r="AB50" s="153"/>
      <c r="AC50" s="153"/>
      <c r="AD50" s="153"/>
      <c r="AE50" s="153"/>
      <c r="AF50" s="153"/>
      <c r="AG50" s="153" t="s">
        <v>92</v>
      </c>
      <c r="AH50" s="153" t="s">
        <v>1276</v>
      </c>
      <c r="AI50" s="153" t="s">
        <v>1277</v>
      </c>
      <c r="AJ50" s="153" t="s">
        <v>1090</v>
      </c>
      <c r="AK50" s="153"/>
      <c r="AL50" s="153"/>
      <c r="AM50" s="153"/>
      <c r="AN50" s="153"/>
    </row>
    <row r="51" spans="1:40">
      <c r="A51" s="153">
        <v>278</v>
      </c>
      <c r="B51" s="153" t="s">
        <v>1059</v>
      </c>
      <c r="C51" s="153" t="s">
        <v>1354</v>
      </c>
      <c r="D51" s="153">
        <v>8663003779</v>
      </c>
      <c r="E51" s="153" t="s">
        <v>1355</v>
      </c>
      <c r="F51" s="153" t="s">
        <v>1356</v>
      </c>
      <c r="G51" s="153"/>
      <c r="H51" s="153" t="s">
        <v>1357</v>
      </c>
      <c r="I51" s="153" t="s">
        <v>1358</v>
      </c>
      <c r="J51" s="153" t="s">
        <v>359</v>
      </c>
      <c r="K51" s="153">
        <v>21093</v>
      </c>
      <c r="L51" s="153" t="s">
        <v>1067</v>
      </c>
      <c r="M51" s="153"/>
      <c r="N51" s="153" t="s">
        <v>1068</v>
      </c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</row>
    <row r="52" spans="1:40">
      <c r="A52" s="153">
        <v>374</v>
      </c>
      <c r="B52" s="153" t="s">
        <v>1059</v>
      </c>
      <c r="C52" s="153" t="s">
        <v>1359</v>
      </c>
      <c r="D52" s="153" t="s">
        <v>1360</v>
      </c>
      <c r="E52" s="153"/>
      <c r="F52" s="153"/>
      <c r="G52" s="153"/>
      <c r="H52" s="153" t="s">
        <v>1361</v>
      </c>
      <c r="I52" s="153" t="s">
        <v>1362</v>
      </c>
      <c r="J52" s="153" t="s">
        <v>359</v>
      </c>
      <c r="K52" s="153">
        <v>21120</v>
      </c>
      <c r="L52" s="153" t="s">
        <v>1067</v>
      </c>
      <c r="M52" s="153"/>
      <c r="N52" s="153" t="s">
        <v>1068</v>
      </c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</row>
    <row r="53" spans="1:40">
      <c r="A53" s="153">
        <v>379</v>
      </c>
      <c r="B53" s="153" t="s">
        <v>1059</v>
      </c>
      <c r="C53" s="153" t="s">
        <v>1363</v>
      </c>
      <c r="D53" s="153" t="s">
        <v>1364</v>
      </c>
      <c r="E53" s="153" t="s">
        <v>1365</v>
      </c>
      <c r="F53" s="153" t="s">
        <v>1366</v>
      </c>
      <c r="G53" s="153"/>
      <c r="H53" s="153" t="s">
        <v>1367</v>
      </c>
      <c r="I53" s="153" t="s">
        <v>1368</v>
      </c>
      <c r="J53" s="153" t="s">
        <v>944</v>
      </c>
      <c r="K53" s="153" t="s">
        <v>1369</v>
      </c>
      <c r="L53" s="153" t="s">
        <v>1370</v>
      </c>
      <c r="M53" s="153"/>
      <c r="N53" s="153" t="s">
        <v>1068</v>
      </c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</row>
    <row r="54" spans="1:40">
      <c r="A54" s="153">
        <v>101</v>
      </c>
      <c r="B54" s="153" t="s">
        <v>1059</v>
      </c>
      <c r="C54" s="153" t="s">
        <v>1371</v>
      </c>
      <c r="D54" s="153">
        <v>4105496960</v>
      </c>
      <c r="E54" s="153" t="s">
        <v>1372</v>
      </c>
      <c r="F54" s="153" t="s">
        <v>1373</v>
      </c>
      <c r="G54" s="153"/>
      <c r="H54" s="153" t="s">
        <v>1374</v>
      </c>
      <c r="I54" s="153" t="s">
        <v>1375</v>
      </c>
      <c r="J54" s="153" t="s">
        <v>359</v>
      </c>
      <c r="K54" s="153">
        <v>21784</v>
      </c>
      <c r="L54" s="153" t="s">
        <v>1067</v>
      </c>
      <c r="M54" s="153"/>
      <c r="N54" s="153" t="s">
        <v>1068</v>
      </c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</row>
    <row r="55" spans="1:40">
      <c r="A55" s="153">
        <v>107</v>
      </c>
      <c r="B55" s="153" t="s">
        <v>1059</v>
      </c>
      <c r="C55" s="153" t="s">
        <v>1376</v>
      </c>
      <c r="D55" s="153">
        <v>4104265482</v>
      </c>
      <c r="E55" s="153" t="s">
        <v>1377</v>
      </c>
      <c r="F55" s="153" t="s">
        <v>1378</v>
      </c>
      <c r="G55" s="153"/>
      <c r="H55" s="153" t="s">
        <v>1379</v>
      </c>
      <c r="I55" s="153" t="s">
        <v>1074</v>
      </c>
      <c r="J55" s="153" t="s">
        <v>359</v>
      </c>
      <c r="K55" s="153">
        <v>21206</v>
      </c>
      <c r="L55" s="153" t="s">
        <v>1380</v>
      </c>
      <c r="M55" s="153"/>
      <c r="N55" s="153" t="s">
        <v>1068</v>
      </c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</row>
    <row r="56" spans="1:40">
      <c r="A56" s="153">
        <v>256</v>
      </c>
      <c r="B56" s="153" t="s">
        <v>1059</v>
      </c>
      <c r="C56" s="153" t="s">
        <v>1381</v>
      </c>
      <c r="D56" s="153"/>
      <c r="E56" s="153" t="s">
        <v>1382</v>
      </c>
      <c r="F56" s="153" t="s">
        <v>1383</v>
      </c>
      <c r="G56" s="153"/>
      <c r="H56" s="153" t="s">
        <v>1384</v>
      </c>
      <c r="I56" s="153" t="s">
        <v>1385</v>
      </c>
      <c r="J56" s="153" t="s">
        <v>359</v>
      </c>
      <c r="K56" s="153">
        <v>20689</v>
      </c>
      <c r="L56" s="153" t="s">
        <v>1386</v>
      </c>
      <c r="M56" s="153"/>
      <c r="N56" s="153" t="s">
        <v>1068</v>
      </c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</row>
    <row r="57" spans="1:40">
      <c r="A57" s="153">
        <v>109</v>
      </c>
      <c r="B57" s="153" t="s">
        <v>1059</v>
      </c>
      <c r="C57" s="153" t="s">
        <v>1387</v>
      </c>
      <c r="D57" s="153">
        <v>3017278100</v>
      </c>
      <c r="E57" s="153" t="s">
        <v>1388</v>
      </c>
      <c r="F57" s="153" t="s">
        <v>1389</v>
      </c>
      <c r="G57" s="153"/>
      <c r="H57" s="153" t="s">
        <v>1390</v>
      </c>
      <c r="I57" s="153" t="s">
        <v>1391</v>
      </c>
      <c r="J57" s="153" t="s">
        <v>359</v>
      </c>
      <c r="K57" s="153">
        <v>20814</v>
      </c>
      <c r="L57" s="153" t="s">
        <v>1392</v>
      </c>
      <c r="M57" s="153"/>
      <c r="N57" s="153" t="s">
        <v>1068</v>
      </c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</row>
    <row r="58" spans="1:40">
      <c r="A58" s="153">
        <v>402</v>
      </c>
      <c r="B58" s="153" t="s">
        <v>1059</v>
      </c>
      <c r="C58" s="153" t="s">
        <v>1393</v>
      </c>
      <c r="D58" s="153"/>
      <c r="E58" s="153" t="s">
        <v>1394</v>
      </c>
      <c r="F58" s="153" t="s">
        <v>1395</v>
      </c>
      <c r="G58" s="153"/>
      <c r="H58" s="153" t="s">
        <v>1396</v>
      </c>
      <c r="I58" s="153" t="s">
        <v>1391</v>
      </c>
      <c r="J58" s="153" t="s">
        <v>359</v>
      </c>
      <c r="K58" s="153">
        <v>20814</v>
      </c>
      <c r="L58" s="153" t="s">
        <v>1067</v>
      </c>
      <c r="M58" s="153"/>
      <c r="N58" s="153" t="s">
        <v>1068</v>
      </c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</row>
    <row r="59" spans="1:40">
      <c r="A59" s="153">
        <v>104</v>
      </c>
      <c r="B59" s="153" t="s">
        <v>1059</v>
      </c>
      <c r="C59" s="153" t="s">
        <v>1397</v>
      </c>
      <c r="D59" s="153"/>
      <c r="E59" s="153" t="s">
        <v>1139</v>
      </c>
      <c r="F59" s="153"/>
      <c r="G59" s="153"/>
      <c r="H59" s="153"/>
      <c r="I59" s="153"/>
      <c r="J59" s="153"/>
      <c r="K59" s="153"/>
      <c r="L59" s="153" t="s">
        <v>1398</v>
      </c>
      <c r="M59" s="153"/>
      <c r="N59" s="153" t="s">
        <v>1068</v>
      </c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</row>
    <row r="60" spans="1:40">
      <c r="A60" s="153">
        <v>112</v>
      </c>
      <c r="B60" s="153" t="s">
        <v>1059</v>
      </c>
      <c r="C60" s="153" t="s">
        <v>1399</v>
      </c>
      <c r="D60" s="153" t="s">
        <v>1400</v>
      </c>
      <c r="E60" s="153"/>
      <c r="F60" s="153"/>
      <c r="G60" s="153"/>
      <c r="H60" s="153"/>
      <c r="I60" s="153"/>
      <c r="J60" s="153"/>
      <c r="K60" s="153"/>
      <c r="L60" s="153" t="s">
        <v>1067</v>
      </c>
      <c r="M60" s="153"/>
      <c r="N60" s="153" t="s">
        <v>1068</v>
      </c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</row>
    <row r="61" spans="1:40">
      <c r="A61" s="153">
        <v>107</v>
      </c>
      <c r="B61" s="153" t="s">
        <v>1059</v>
      </c>
      <c r="C61" s="153" t="s">
        <v>1401</v>
      </c>
      <c r="D61" s="153">
        <v>4109213838</v>
      </c>
      <c r="E61" s="153" t="s">
        <v>1402</v>
      </c>
      <c r="F61" s="153" t="s">
        <v>1403</v>
      </c>
      <c r="G61" s="153"/>
      <c r="H61" s="153" t="s">
        <v>1404</v>
      </c>
      <c r="I61" s="153" t="s">
        <v>1405</v>
      </c>
      <c r="J61" s="153" t="s">
        <v>359</v>
      </c>
      <c r="K61" s="153">
        <v>21114</v>
      </c>
      <c r="L61" s="153" t="s">
        <v>1406</v>
      </c>
      <c r="M61" s="153"/>
      <c r="N61" s="153" t="s">
        <v>1068</v>
      </c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</row>
    <row r="62" spans="1:40">
      <c r="A62" s="153">
        <v>205</v>
      </c>
      <c r="B62" s="153" t="s">
        <v>1059</v>
      </c>
      <c r="C62" s="153" t="s">
        <v>1407</v>
      </c>
      <c r="D62" s="153" t="s">
        <v>1408</v>
      </c>
      <c r="E62" s="153"/>
      <c r="F62" s="153"/>
      <c r="G62" s="153"/>
      <c r="H62" s="153" t="s">
        <v>1409</v>
      </c>
      <c r="I62" s="153" t="s">
        <v>1066</v>
      </c>
      <c r="J62" s="153" t="s">
        <v>359</v>
      </c>
      <c r="K62" s="153">
        <v>20705</v>
      </c>
      <c r="L62" s="153" t="s">
        <v>1067</v>
      </c>
      <c r="M62" s="153"/>
      <c r="N62" s="153" t="s">
        <v>1068</v>
      </c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</row>
    <row r="63" spans="1:40">
      <c r="A63" s="153">
        <v>152</v>
      </c>
      <c r="B63" s="153" t="s">
        <v>1059</v>
      </c>
      <c r="C63" s="153" t="s">
        <v>1410</v>
      </c>
      <c r="D63" s="153" t="s">
        <v>1411</v>
      </c>
      <c r="E63" s="153" t="s">
        <v>1412</v>
      </c>
      <c r="F63" s="153" t="s">
        <v>1413</v>
      </c>
      <c r="G63" s="153"/>
      <c r="H63" s="153" t="s">
        <v>1414</v>
      </c>
      <c r="I63" s="153" t="s">
        <v>1415</v>
      </c>
      <c r="J63" s="153" t="s">
        <v>359</v>
      </c>
      <c r="K63" s="153">
        <v>21703</v>
      </c>
      <c r="L63" s="153" t="s">
        <v>1416</v>
      </c>
      <c r="M63" s="153"/>
      <c r="N63" s="153" t="s">
        <v>1068</v>
      </c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</row>
    <row r="64" spans="1:40">
      <c r="A64" s="153">
        <v>68</v>
      </c>
      <c r="B64" s="153" t="s">
        <v>1059</v>
      </c>
      <c r="C64" s="153" t="s">
        <v>1417</v>
      </c>
      <c r="D64" s="153">
        <v>8442754172</v>
      </c>
      <c r="E64" s="153"/>
      <c r="F64" s="153"/>
      <c r="G64" s="153"/>
      <c r="H64" s="153" t="s">
        <v>1418</v>
      </c>
      <c r="I64" s="153" t="s">
        <v>1419</v>
      </c>
      <c r="J64" s="153" t="s">
        <v>359</v>
      </c>
      <c r="K64" s="153">
        <v>21061</v>
      </c>
      <c r="L64" s="153" t="s">
        <v>1067</v>
      </c>
      <c r="M64" s="153"/>
      <c r="N64" s="153" t="s">
        <v>1068</v>
      </c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</row>
    <row r="65" spans="1:40">
      <c r="A65" s="153">
        <v>69</v>
      </c>
      <c r="B65" s="153" t="s">
        <v>1059</v>
      </c>
      <c r="C65" s="153" t="s">
        <v>1420</v>
      </c>
      <c r="D65" s="153">
        <v>7033964920</v>
      </c>
      <c r="E65" s="153"/>
      <c r="F65" s="153"/>
      <c r="G65" s="153"/>
      <c r="H65" s="153" t="s">
        <v>1421</v>
      </c>
      <c r="I65" s="153" t="s">
        <v>1422</v>
      </c>
      <c r="J65" s="153" t="s">
        <v>916</v>
      </c>
      <c r="K65" s="153">
        <v>20151</v>
      </c>
      <c r="L65" s="153" t="s">
        <v>1067</v>
      </c>
      <c r="M65" s="153"/>
      <c r="N65" s="153" t="s">
        <v>1068</v>
      </c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</row>
    <row r="66" spans="1:40">
      <c r="A66" s="153">
        <v>70</v>
      </c>
      <c r="B66" s="153" t="s">
        <v>1059</v>
      </c>
      <c r="C66" s="153" t="s">
        <v>1423</v>
      </c>
      <c r="D66" s="153">
        <v>7578553006</v>
      </c>
      <c r="E66" s="153"/>
      <c r="F66" s="153"/>
      <c r="G66" s="153"/>
      <c r="H66" s="153" t="s">
        <v>1424</v>
      </c>
      <c r="I66" s="153" t="s">
        <v>1425</v>
      </c>
      <c r="J66" s="153" t="s">
        <v>916</v>
      </c>
      <c r="K66" s="153">
        <v>23228</v>
      </c>
      <c r="L66" s="153" t="s">
        <v>1067</v>
      </c>
      <c r="M66" s="153"/>
      <c r="N66" s="153" t="s">
        <v>1068</v>
      </c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</row>
    <row r="67" spans="1:40">
      <c r="A67" s="153">
        <v>67</v>
      </c>
      <c r="B67" s="153" t="s">
        <v>1059</v>
      </c>
      <c r="C67" s="153" t="s">
        <v>1426</v>
      </c>
      <c r="D67" s="153">
        <v>7138309600</v>
      </c>
      <c r="E67" s="153" t="s">
        <v>1427</v>
      </c>
      <c r="F67" s="153" t="s">
        <v>1428</v>
      </c>
      <c r="G67" s="153"/>
      <c r="H67" s="153" t="s">
        <v>1429</v>
      </c>
      <c r="I67" s="153" t="s">
        <v>1430</v>
      </c>
      <c r="J67" s="153" t="s">
        <v>1431</v>
      </c>
      <c r="K67" s="153">
        <v>77057</v>
      </c>
      <c r="L67" s="153" t="s">
        <v>1432</v>
      </c>
      <c r="M67" s="153"/>
      <c r="N67" s="153" t="s">
        <v>1068</v>
      </c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</row>
    <row r="68" spans="1:40">
      <c r="A68" s="153">
        <v>280</v>
      </c>
      <c r="B68" s="153" t="s">
        <v>1059</v>
      </c>
      <c r="C68" s="153" t="s">
        <v>1433</v>
      </c>
      <c r="D68" s="153">
        <v>2023334977</v>
      </c>
      <c r="E68" s="153" t="s">
        <v>1434</v>
      </c>
      <c r="F68" s="153" t="s">
        <v>1435</v>
      </c>
      <c r="G68" s="153"/>
      <c r="H68" s="153" t="s">
        <v>1436</v>
      </c>
      <c r="I68" s="153" t="s">
        <v>1096</v>
      </c>
      <c r="J68" s="153" t="s">
        <v>172</v>
      </c>
      <c r="K68" s="153">
        <v>20016</v>
      </c>
      <c r="L68" s="153" t="s">
        <v>1067</v>
      </c>
      <c r="M68" s="153"/>
      <c r="N68" s="153" t="s">
        <v>1068</v>
      </c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</row>
    <row r="69" spans="1:40">
      <c r="A69" s="153">
        <v>177</v>
      </c>
      <c r="B69" s="153" t="s">
        <v>1059</v>
      </c>
      <c r="C69" s="153" t="s">
        <v>1437</v>
      </c>
      <c r="D69" s="153" t="s">
        <v>1438</v>
      </c>
      <c r="E69" s="153" t="s">
        <v>1139</v>
      </c>
      <c r="F69" s="153"/>
      <c r="G69" s="153"/>
      <c r="H69" s="153" t="s">
        <v>1439</v>
      </c>
      <c r="I69" s="153" t="s">
        <v>1440</v>
      </c>
      <c r="J69" s="153" t="s">
        <v>1441</v>
      </c>
      <c r="K69" s="153">
        <v>61615</v>
      </c>
      <c r="L69" s="153" t="s">
        <v>1442</v>
      </c>
      <c r="M69" s="153"/>
      <c r="N69" s="153" t="s">
        <v>1068</v>
      </c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</row>
    <row r="70" spans="1:40">
      <c r="A70" s="153">
        <v>212</v>
      </c>
      <c r="B70" s="153" t="s">
        <v>1059</v>
      </c>
      <c r="C70" s="153" t="s">
        <v>1443</v>
      </c>
      <c r="D70" s="153" t="s">
        <v>1444</v>
      </c>
      <c r="E70" s="153"/>
      <c r="F70" s="153"/>
      <c r="G70" s="153"/>
      <c r="H70" s="153"/>
      <c r="I70" s="153"/>
      <c r="J70" s="153"/>
      <c r="K70" s="153"/>
      <c r="L70" s="153" t="s">
        <v>1067</v>
      </c>
      <c r="M70" s="153"/>
      <c r="N70" s="153" t="s">
        <v>1068</v>
      </c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</row>
    <row r="71" spans="1:40">
      <c r="A71" s="153">
        <v>50</v>
      </c>
      <c r="B71" s="153" t="s">
        <v>1059</v>
      </c>
      <c r="C71" s="153" t="s">
        <v>1445</v>
      </c>
      <c r="D71" s="153" t="s">
        <v>1446</v>
      </c>
      <c r="E71" s="153" t="s">
        <v>1447</v>
      </c>
      <c r="F71" s="153" t="s">
        <v>1448</v>
      </c>
      <c r="G71" s="153"/>
      <c r="H71" s="153" t="s">
        <v>1449</v>
      </c>
      <c r="I71" s="153" t="s">
        <v>1450</v>
      </c>
      <c r="J71" s="153" t="s">
        <v>359</v>
      </c>
      <c r="K71" s="153"/>
      <c r="L71" s="153" t="s">
        <v>1067</v>
      </c>
      <c r="M71" s="153"/>
      <c r="N71" s="153" t="s">
        <v>1068</v>
      </c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</row>
    <row r="72" spans="1:40">
      <c r="A72" s="153">
        <v>378</v>
      </c>
      <c r="B72" s="153" t="s">
        <v>1059</v>
      </c>
      <c r="C72" s="153" t="s">
        <v>1451</v>
      </c>
      <c r="D72" s="153"/>
      <c r="E72" s="153"/>
      <c r="F72" s="153"/>
      <c r="G72" s="153"/>
      <c r="H72" s="153"/>
      <c r="I72" s="153" t="s">
        <v>1452</v>
      </c>
      <c r="J72" s="153" t="s">
        <v>359</v>
      </c>
      <c r="K72" s="153">
        <v>20659</v>
      </c>
      <c r="L72" s="153" t="s">
        <v>1067</v>
      </c>
      <c r="M72" s="153"/>
      <c r="N72" s="153" t="s">
        <v>1068</v>
      </c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</row>
    <row r="73" spans="1:40">
      <c r="A73" s="153">
        <v>123</v>
      </c>
      <c r="B73" s="153" t="s">
        <v>1059</v>
      </c>
      <c r="C73" s="153" t="s">
        <v>1453</v>
      </c>
      <c r="D73" s="153">
        <v>3019180056</v>
      </c>
      <c r="E73" s="153" t="s">
        <v>1454</v>
      </c>
      <c r="F73" s="153" t="s">
        <v>1455</v>
      </c>
      <c r="G73" s="153"/>
      <c r="H73" s="153" t="s">
        <v>1456</v>
      </c>
      <c r="I73" s="153" t="s">
        <v>1457</v>
      </c>
      <c r="J73" s="153" t="s">
        <v>359</v>
      </c>
      <c r="K73" s="153">
        <v>20706</v>
      </c>
      <c r="L73" s="153" t="s">
        <v>1458</v>
      </c>
      <c r="M73" s="153"/>
      <c r="N73" s="153" t="s">
        <v>1068</v>
      </c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</row>
    <row r="74" spans="1:40">
      <c r="A74" s="153">
        <v>266</v>
      </c>
      <c r="B74" s="153" t="s">
        <v>1059</v>
      </c>
      <c r="C74" s="153" t="s">
        <v>1459</v>
      </c>
      <c r="D74" s="153" t="s">
        <v>1460</v>
      </c>
      <c r="E74" s="153"/>
      <c r="F74" s="153"/>
      <c r="G74" s="153"/>
      <c r="H74" s="153" t="s">
        <v>1461</v>
      </c>
      <c r="I74" s="153" t="s">
        <v>1462</v>
      </c>
      <c r="J74" s="153" t="s">
        <v>359</v>
      </c>
      <c r="K74" s="153">
        <v>20850</v>
      </c>
      <c r="L74" s="153" t="s">
        <v>1067</v>
      </c>
      <c r="M74" s="153"/>
      <c r="N74" s="153" t="s">
        <v>1068</v>
      </c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</row>
    <row r="75" spans="1:40">
      <c r="A75" s="153">
        <v>105</v>
      </c>
      <c r="B75" s="153" t="s">
        <v>1059</v>
      </c>
      <c r="C75" s="153" t="s">
        <v>1463</v>
      </c>
      <c r="D75" s="153" t="s">
        <v>1464</v>
      </c>
      <c r="E75" s="153" t="s">
        <v>1465</v>
      </c>
      <c r="F75" s="153" t="s">
        <v>1466</v>
      </c>
      <c r="G75" s="153" t="s">
        <v>1467</v>
      </c>
      <c r="H75" s="153" t="s">
        <v>1468</v>
      </c>
      <c r="I75" s="153" t="s">
        <v>1469</v>
      </c>
      <c r="J75" s="153" t="s">
        <v>359</v>
      </c>
      <c r="K75" s="153">
        <v>21030</v>
      </c>
      <c r="L75" s="153" t="s">
        <v>1470</v>
      </c>
      <c r="M75" s="153"/>
      <c r="N75" s="153" t="s">
        <v>1068</v>
      </c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</row>
    <row r="76" spans="1:40">
      <c r="A76" s="153">
        <v>151</v>
      </c>
      <c r="B76" s="153" t="s">
        <v>1059</v>
      </c>
      <c r="C76" s="153" t="s">
        <v>1471</v>
      </c>
      <c r="D76" s="153" t="s">
        <v>1472</v>
      </c>
      <c r="E76" s="153" t="s">
        <v>1473</v>
      </c>
      <c r="F76" s="153" t="s">
        <v>1474</v>
      </c>
      <c r="G76" s="153"/>
      <c r="H76" s="153" t="s">
        <v>1475</v>
      </c>
      <c r="I76" s="153" t="s">
        <v>1476</v>
      </c>
      <c r="J76" s="153" t="s">
        <v>916</v>
      </c>
      <c r="K76" s="153">
        <v>20147</v>
      </c>
      <c r="L76" s="153" t="s">
        <v>1067</v>
      </c>
      <c r="M76" s="153"/>
      <c r="N76" s="153" t="s">
        <v>1068</v>
      </c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</row>
    <row r="77" spans="1:40">
      <c r="A77" s="153">
        <v>456</v>
      </c>
      <c r="B77" s="153" t="s">
        <v>1059</v>
      </c>
      <c r="C77" s="153" t="s">
        <v>1477</v>
      </c>
      <c r="D77" s="153"/>
      <c r="E77" s="153" t="s">
        <v>1478</v>
      </c>
      <c r="F77" s="153" t="s">
        <v>1479</v>
      </c>
      <c r="G77" s="153"/>
      <c r="H77" s="153"/>
      <c r="I77" s="153"/>
      <c r="J77" s="153"/>
      <c r="K77" s="153"/>
      <c r="L77" s="153" t="s">
        <v>1067</v>
      </c>
      <c r="M77" s="153"/>
      <c r="N77" s="153" t="s">
        <v>1068</v>
      </c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</row>
    <row r="78" spans="1:40">
      <c r="A78" s="153">
        <v>37</v>
      </c>
      <c r="B78" s="153" t="s">
        <v>1059</v>
      </c>
      <c r="C78" s="153" t="s">
        <v>1480</v>
      </c>
      <c r="D78" s="153">
        <v>3013176001</v>
      </c>
      <c r="E78" s="153" t="s">
        <v>1481</v>
      </c>
      <c r="F78" s="153" t="s">
        <v>1482</v>
      </c>
      <c r="G78" s="153"/>
      <c r="H78" s="153" t="s">
        <v>1483</v>
      </c>
      <c r="I78" s="153" t="s">
        <v>1484</v>
      </c>
      <c r="J78" s="153" t="s">
        <v>359</v>
      </c>
      <c r="K78" s="153">
        <v>20794</v>
      </c>
      <c r="L78" s="153" t="s">
        <v>1485</v>
      </c>
      <c r="M78" s="153"/>
      <c r="N78" s="153" t="s">
        <v>1068</v>
      </c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/>
    </row>
    <row r="79" spans="1:40">
      <c r="A79" s="153">
        <v>134</v>
      </c>
      <c r="B79" s="153" t="s">
        <v>1059</v>
      </c>
      <c r="C79" s="153" t="s">
        <v>1486</v>
      </c>
      <c r="D79" s="153"/>
      <c r="E79" s="153"/>
      <c r="F79" s="153"/>
      <c r="G79" s="153"/>
      <c r="H79" s="153"/>
      <c r="I79" s="153"/>
      <c r="J79" s="153"/>
      <c r="K79" s="153"/>
      <c r="L79" s="153" t="s">
        <v>1067</v>
      </c>
      <c r="M79" s="153"/>
      <c r="N79" s="153" t="s">
        <v>1068</v>
      </c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</row>
    <row r="80" spans="1:40">
      <c r="A80" s="153">
        <v>153</v>
      </c>
      <c r="B80" s="153" t="s">
        <v>1059</v>
      </c>
      <c r="C80" s="153" t="s">
        <v>1487</v>
      </c>
      <c r="D80" s="153">
        <v>3012527657</v>
      </c>
      <c r="E80" s="153" t="s">
        <v>1488</v>
      </c>
      <c r="F80" s="153" t="s">
        <v>1489</v>
      </c>
      <c r="G80" s="153"/>
      <c r="H80" s="153" t="s">
        <v>1490</v>
      </c>
      <c r="I80" s="153" t="s">
        <v>1491</v>
      </c>
      <c r="J80" s="153" t="s">
        <v>359</v>
      </c>
      <c r="K80" s="153">
        <v>20902</v>
      </c>
      <c r="L80" s="153" t="s">
        <v>1492</v>
      </c>
      <c r="M80" s="153"/>
      <c r="N80" s="153" t="s">
        <v>1068</v>
      </c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/>
      <c r="AK80" s="153"/>
      <c r="AL80" s="153"/>
      <c r="AM80" s="153"/>
      <c r="AN80" s="153"/>
    </row>
    <row r="81" spans="1:40">
      <c r="A81" s="153">
        <v>43</v>
      </c>
      <c r="B81" s="153" t="s">
        <v>1059</v>
      </c>
      <c r="C81" s="153" t="s">
        <v>1493</v>
      </c>
      <c r="D81" s="153" t="s">
        <v>1494</v>
      </c>
      <c r="E81" s="153" t="s">
        <v>1495</v>
      </c>
      <c r="F81" s="153" t="s">
        <v>1496</v>
      </c>
      <c r="G81" s="153"/>
      <c r="H81" s="153" t="s">
        <v>1497</v>
      </c>
      <c r="I81" s="153" t="s">
        <v>1074</v>
      </c>
      <c r="J81" s="153" t="s">
        <v>359</v>
      </c>
      <c r="K81" s="153">
        <v>21237</v>
      </c>
      <c r="L81" s="153" t="s">
        <v>1067</v>
      </c>
      <c r="M81" s="153"/>
      <c r="N81" s="153" t="s">
        <v>1068</v>
      </c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</row>
    <row r="82" spans="1:40">
      <c r="A82" s="153">
        <v>166</v>
      </c>
      <c r="B82" s="153" t="s">
        <v>1059</v>
      </c>
      <c r="C82" s="153" t="s">
        <v>1498</v>
      </c>
      <c r="D82" s="153" t="s">
        <v>1499</v>
      </c>
      <c r="E82" s="153" t="s">
        <v>1500</v>
      </c>
      <c r="F82" s="153" t="s">
        <v>1501</v>
      </c>
      <c r="G82" s="153"/>
      <c r="H82" s="153" t="s">
        <v>1502</v>
      </c>
      <c r="I82" s="153" t="s">
        <v>1503</v>
      </c>
      <c r="J82" s="153" t="s">
        <v>359</v>
      </c>
      <c r="K82" s="153"/>
      <c r="L82" s="153" t="s">
        <v>1067</v>
      </c>
      <c r="M82" s="153"/>
      <c r="N82" s="153" t="s">
        <v>1068</v>
      </c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</row>
    <row r="83" spans="1:40">
      <c r="A83" s="153">
        <v>139</v>
      </c>
      <c r="B83" s="153" t="s">
        <v>1059</v>
      </c>
      <c r="C83" s="153" t="s">
        <v>1504</v>
      </c>
      <c r="D83" s="153">
        <v>4108828272</v>
      </c>
      <c r="E83" s="153" t="s">
        <v>1505</v>
      </c>
      <c r="F83" s="153" t="s">
        <v>1506</v>
      </c>
      <c r="G83" s="153"/>
      <c r="H83" s="153" t="s">
        <v>1507</v>
      </c>
      <c r="I83" s="153" t="s">
        <v>1503</v>
      </c>
      <c r="J83" s="153" t="s">
        <v>359</v>
      </c>
      <c r="K83" s="153">
        <v>21220</v>
      </c>
      <c r="L83" s="153" t="s">
        <v>1067</v>
      </c>
      <c r="M83" s="153"/>
      <c r="N83" s="153" t="s">
        <v>1068</v>
      </c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</row>
    <row r="84" spans="1:40">
      <c r="A84" s="153">
        <v>254</v>
      </c>
      <c r="B84" s="153" t="s">
        <v>1059</v>
      </c>
      <c r="C84" s="153" t="s">
        <v>1508</v>
      </c>
      <c r="D84" s="153" t="s">
        <v>1509</v>
      </c>
      <c r="E84" s="153"/>
      <c r="F84" s="153"/>
      <c r="G84" s="153"/>
      <c r="H84" s="153" t="s">
        <v>1510</v>
      </c>
      <c r="I84" s="153" t="s">
        <v>1101</v>
      </c>
      <c r="J84" s="153" t="s">
        <v>916</v>
      </c>
      <c r="K84" s="153">
        <v>20110</v>
      </c>
      <c r="L84" s="153" t="s">
        <v>1067</v>
      </c>
      <c r="M84" s="153"/>
      <c r="N84" s="153" t="s">
        <v>1068</v>
      </c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</row>
    <row r="85" spans="1:40">
      <c r="A85" s="153">
        <v>426</v>
      </c>
      <c r="B85" s="153" t="s">
        <v>1059</v>
      </c>
      <c r="C85" s="153" t="s">
        <v>1511</v>
      </c>
      <c r="D85" s="153" t="s">
        <v>1512</v>
      </c>
      <c r="E85" s="153" t="s">
        <v>1513</v>
      </c>
      <c r="F85" s="153" t="s">
        <v>1514</v>
      </c>
      <c r="G85" s="153"/>
      <c r="H85" s="153" t="s">
        <v>1515</v>
      </c>
      <c r="I85" s="153" t="s">
        <v>1516</v>
      </c>
      <c r="J85" s="153" t="s">
        <v>916</v>
      </c>
      <c r="K85" s="153">
        <v>23707</v>
      </c>
      <c r="L85" s="153" t="s">
        <v>1067</v>
      </c>
      <c r="M85" s="153"/>
      <c r="N85" s="153" t="s">
        <v>1068</v>
      </c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</row>
    <row r="86" spans="1:40">
      <c r="A86" s="153">
        <v>197</v>
      </c>
      <c r="B86" s="153" t="s">
        <v>1059</v>
      </c>
      <c r="C86" s="153" t="s">
        <v>1517</v>
      </c>
      <c r="D86" s="153">
        <v>7032201651</v>
      </c>
      <c r="E86" s="153" t="s">
        <v>1518</v>
      </c>
      <c r="F86" s="153" t="s">
        <v>1519</v>
      </c>
      <c r="G86" s="153"/>
      <c r="H86" s="153" t="s">
        <v>1520</v>
      </c>
      <c r="I86" s="153" t="s">
        <v>1521</v>
      </c>
      <c r="J86" s="153" t="s">
        <v>359</v>
      </c>
      <c r="K86" s="153">
        <v>20781</v>
      </c>
      <c r="L86" s="153" t="s">
        <v>1522</v>
      </c>
      <c r="M86" s="153"/>
      <c r="N86" s="153" t="s">
        <v>1068</v>
      </c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/>
      <c r="AL86" s="153"/>
      <c r="AM86" s="153"/>
      <c r="AN86" s="153"/>
    </row>
    <row r="87" spans="1:40">
      <c r="A87" s="153">
        <v>107</v>
      </c>
      <c r="B87" s="153" t="s">
        <v>1059</v>
      </c>
      <c r="C87" s="153" t="s">
        <v>1523</v>
      </c>
      <c r="D87" s="153" t="s">
        <v>1524</v>
      </c>
      <c r="E87" s="153"/>
      <c r="F87" s="153"/>
      <c r="G87" s="153"/>
      <c r="H87" s="153" t="s">
        <v>1525</v>
      </c>
      <c r="I87" s="153" t="s">
        <v>1526</v>
      </c>
      <c r="J87" s="153" t="s">
        <v>1527</v>
      </c>
      <c r="K87" s="153" t="s">
        <v>1528</v>
      </c>
      <c r="L87" s="153" t="s">
        <v>1067</v>
      </c>
      <c r="M87" s="153"/>
      <c r="N87" s="153" t="s">
        <v>1068</v>
      </c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</row>
    <row r="88" spans="1:40">
      <c r="A88" s="153">
        <v>108</v>
      </c>
      <c r="B88" s="153" t="s">
        <v>1059</v>
      </c>
      <c r="C88" s="153" t="s">
        <v>1529</v>
      </c>
      <c r="D88" s="153" t="s">
        <v>1530</v>
      </c>
      <c r="E88" s="153" t="s">
        <v>1531</v>
      </c>
      <c r="F88" s="153" t="s">
        <v>1532</v>
      </c>
      <c r="G88" s="153"/>
      <c r="H88" s="153" t="s">
        <v>1533</v>
      </c>
      <c r="I88" s="153" t="s">
        <v>1457</v>
      </c>
      <c r="J88" s="153" t="s">
        <v>359</v>
      </c>
      <c r="K88" s="153">
        <v>20706</v>
      </c>
      <c r="L88" s="153" t="s">
        <v>1067</v>
      </c>
      <c r="M88" s="153"/>
      <c r="N88" s="153" t="s">
        <v>1068</v>
      </c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</row>
    <row r="89" spans="1:40">
      <c r="A89" s="153">
        <v>298</v>
      </c>
      <c r="B89" s="153" t="s">
        <v>1059</v>
      </c>
      <c r="C89" s="153" t="s">
        <v>1534</v>
      </c>
      <c r="D89" s="153" t="s">
        <v>1535</v>
      </c>
      <c r="E89" s="153" t="s">
        <v>1139</v>
      </c>
      <c r="F89" s="153"/>
      <c r="G89" s="153"/>
      <c r="H89" s="153"/>
      <c r="I89" s="153"/>
      <c r="J89" s="153"/>
      <c r="K89" s="153"/>
      <c r="L89" s="153" t="s">
        <v>1067</v>
      </c>
      <c r="M89" s="153"/>
      <c r="N89" s="153" t="s">
        <v>1068</v>
      </c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</row>
    <row r="90" spans="1:40">
      <c r="A90" s="153">
        <v>144</v>
      </c>
      <c r="B90" s="153" t="s">
        <v>1059</v>
      </c>
      <c r="C90" s="153" t="s">
        <v>1536</v>
      </c>
      <c r="D90" s="153" t="s">
        <v>1537</v>
      </c>
      <c r="E90" s="153" t="s">
        <v>1538</v>
      </c>
      <c r="F90" s="153" t="s">
        <v>1539</v>
      </c>
      <c r="G90" s="153" t="s">
        <v>1540</v>
      </c>
      <c r="H90" s="153" t="s">
        <v>1541</v>
      </c>
      <c r="I90" s="153" t="s">
        <v>1074</v>
      </c>
      <c r="J90" s="153" t="s">
        <v>359</v>
      </c>
      <c r="K90" s="153">
        <v>21207</v>
      </c>
      <c r="L90" s="153" t="s">
        <v>1542</v>
      </c>
      <c r="M90" s="153"/>
      <c r="N90" s="153" t="s">
        <v>1068</v>
      </c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</row>
    <row r="91" spans="1:40">
      <c r="A91" s="153">
        <v>354</v>
      </c>
      <c r="B91" s="153" t="s">
        <v>1059</v>
      </c>
      <c r="C91" s="153" t="s">
        <v>1543</v>
      </c>
      <c r="D91" s="153" t="s">
        <v>1544</v>
      </c>
      <c r="E91" s="153" t="s">
        <v>1139</v>
      </c>
      <c r="F91" s="153"/>
      <c r="G91" s="153"/>
      <c r="H91" s="153" t="s">
        <v>1545</v>
      </c>
      <c r="I91" s="153" t="s">
        <v>1546</v>
      </c>
      <c r="J91" s="153" t="s">
        <v>916</v>
      </c>
      <c r="K91" s="153">
        <v>22314</v>
      </c>
      <c r="L91" s="153" t="s">
        <v>1547</v>
      </c>
      <c r="M91" s="153"/>
      <c r="N91" s="153" t="s">
        <v>1068</v>
      </c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</row>
    <row r="92" spans="1:40">
      <c r="A92" s="153">
        <v>9</v>
      </c>
      <c r="B92" s="153" t="s">
        <v>1059</v>
      </c>
      <c r="C92" s="153" t="s">
        <v>1548</v>
      </c>
      <c r="D92" s="153">
        <v>4439694875</v>
      </c>
      <c r="E92" s="153" t="s">
        <v>1549</v>
      </c>
      <c r="F92" s="153" t="s">
        <v>1550</v>
      </c>
      <c r="G92" s="153"/>
      <c r="H92" s="153" t="s">
        <v>1551</v>
      </c>
      <c r="I92" s="153" t="s">
        <v>1074</v>
      </c>
      <c r="J92" s="153" t="s">
        <v>359</v>
      </c>
      <c r="K92" s="153">
        <v>21211</v>
      </c>
      <c r="L92" s="153" t="s">
        <v>1552</v>
      </c>
      <c r="M92" s="153"/>
      <c r="N92" s="153" t="s">
        <v>1068</v>
      </c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</row>
    <row r="93" spans="1:40">
      <c r="A93" s="153">
        <v>374</v>
      </c>
      <c r="B93" s="153" t="s">
        <v>1059</v>
      </c>
      <c r="C93" s="153" t="s">
        <v>1553</v>
      </c>
      <c r="D93" s="153">
        <v>8044744500</v>
      </c>
      <c r="E93" s="153"/>
      <c r="F93" s="153"/>
      <c r="G93" s="153"/>
      <c r="H93" s="153"/>
      <c r="I93" s="153"/>
      <c r="J93" s="153"/>
      <c r="K93" s="153"/>
      <c r="L93" s="153" t="s">
        <v>1067</v>
      </c>
      <c r="M93" s="153"/>
      <c r="N93" s="153" t="s">
        <v>1068</v>
      </c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</row>
    <row r="94" spans="1:40">
      <c r="A94" s="153">
        <v>152</v>
      </c>
      <c r="B94" s="153" t="s">
        <v>1059</v>
      </c>
      <c r="C94" s="153" t="s">
        <v>1554</v>
      </c>
      <c r="D94" s="153">
        <v>4107719400</v>
      </c>
      <c r="E94" s="153" t="s">
        <v>1555</v>
      </c>
      <c r="F94" s="153" t="s">
        <v>1556</v>
      </c>
      <c r="G94" s="153"/>
      <c r="H94" s="153" t="s">
        <v>1557</v>
      </c>
      <c r="I94" s="153" t="s">
        <v>1558</v>
      </c>
      <c r="J94" s="153" t="s">
        <v>359</v>
      </c>
      <c r="K94" s="153">
        <v>21152</v>
      </c>
      <c r="L94" s="153" t="s">
        <v>1559</v>
      </c>
      <c r="M94" s="153"/>
      <c r="N94" s="153" t="s">
        <v>1068</v>
      </c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</row>
    <row r="95" spans="1:40">
      <c r="A95" s="153">
        <v>414</v>
      </c>
      <c r="B95" s="153" t="s">
        <v>1059</v>
      </c>
      <c r="C95" s="153" t="s">
        <v>1560</v>
      </c>
      <c r="D95" s="153" t="s">
        <v>1561</v>
      </c>
      <c r="E95" s="153" t="s">
        <v>1139</v>
      </c>
      <c r="F95" s="153"/>
      <c r="G95" s="153"/>
      <c r="H95" s="153" t="s">
        <v>1562</v>
      </c>
      <c r="I95" s="153" t="s">
        <v>1469</v>
      </c>
      <c r="J95" s="153" t="s">
        <v>359</v>
      </c>
      <c r="K95" s="153">
        <v>21030</v>
      </c>
      <c r="L95" s="153" t="s">
        <v>1563</v>
      </c>
      <c r="M95" s="153"/>
      <c r="N95" s="153" t="s">
        <v>1068</v>
      </c>
      <c r="O95" s="153"/>
      <c r="P95" s="153"/>
      <c r="Q95" s="153"/>
      <c r="R95" s="153"/>
      <c r="S95" s="153"/>
      <c r="T95" s="153"/>
      <c r="U95" s="153" t="s">
        <v>92</v>
      </c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</row>
    <row r="96" spans="1:40">
      <c r="A96" s="153">
        <v>208</v>
      </c>
      <c r="B96" s="153" t="s">
        <v>1059</v>
      </c>
      <c r="C96" s="153" t="s">
        <v>1564</v>
      </c>
      <c r="D96" s="153" t="s">
        <v>1565</v>
      </c>
      <c r="E96" s="153"/>
      <c r="F96" s="153"/>
      <c r="G96" s="153"/>
      <c r="H96" s="153" t="s">
        <v>1566</v>
      </c>
      <c r="I96" s="153"/>
      <c r="J96" s="153"/>
      <c r="K96" s="153"/>
      <c r="L96" s="153" t="s">
        <v>1067</v>
      </c>
      <c r="M96" s="153"/>
      <c r="N96" s="153" t="s">
        <v>1068</v>
      </c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</row>
    <row r="97" spans="1:40">
      <c r="A97" s="153">
        <v>162</v>
      </c>
      <c r="B97" s="153" t="s">
        <v>1059</v>
      </c>
      <c r="C97" s="153" t="s">
        <v>1567</v>
      </c>
      <c r="D97" s="153" t="s">
        <v>1568</v>
      </c>
      <c r="E97" s="153" t="s">
        <v>1569</v>
      </c>
      <c r="F97" s="153" t="s">
        <v>1570</v>
      </c>
      <c r="G97" s="153"/>
      <c r="H97" s="153" t="s">
        <v>1571</v>
      </c>
      <c r="I97" s="153" t="s">
        <v>1572</v>
      </c>
      <c r="J97" s="153" t="s">
        <v>359</v>
      </c>
      <c r="K97" s="153">
        <v>21090</v>
      </c>
      <c r="L97" s="153" t="s">
        <v>1573</v>
      </c>
      <c r="M97" s="153"/>
      <c r="N97" s="153" t="s">
        <v>1068</v>
      </c>
      <c r="O97" s="153"/>
      <c r="P97" s="153" t="s">
        <v>1574</v>
      </c>
      <c r="Q97" s="153"/>
      <c r="R97" s="153"/>
      <c r="S97" s="153"/>
      <c r="T97" s="153"/>
      <c r="U97" s="153" t="s">
        <v>92</v>
      </c>
      <c r="V97" s="153" t="s">
        <v>77</v>
      </c>
      <c r="W97" s="153" t="s">
        <v>1575</v>
      </c>
      <c r="X97" s="153" t="s">
        <v>77</v>
      </c>
      <c r="Y97" s="153" t="s">
        <v>77</v>
      </c>
      <c r="Z97" s="153" t="s">
        <v>92</v>
      </c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</row>
    <row r="98" spans="1:40">
      <c r="A98" s="153">
        <v>177</v>
      </c>
      <c r="B98" s="153" t="s">
        <v>1059</v>
      </c>
      <c r="C98" s="153" t="s">
        <v>1576</v>
      </c>
      <c r="D98" s="153" t="s">
        <v>1577</v>
      </c>
      <c r="E98" s="153" t="s">
        <v>1578</v>
      </c>
      <c r="F98" s="153" t="s">
        <v>1579</v>
      </c>
      <c r="G98" s="153"/>
      <c r="H98" s="153" t="s">
        <v>1580</v>
      </c>
      <c r="I98" s="153" t="s">
        <v>1197</v>
      </c>
      <c r="J98" s="153" t="s">
        <v>359</v>
      </c>
      <c r="K98" s="153">
        <v>21030</v>
      </c>
      <c r="L98" s="153" t="s">
        <v>1581</v>
      </c>
      <c r="M98" s="153"/>
      <c r="N98" s="153" t="s">
        <v>1068</v>
      </c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</row>
    <row r="99" spans="1:40">
      <c r="A99" s="153">
        <v>163</v>
      </c>
      <c r="B99" s="153" t="s">
        <v>1059</v>
      </c>
      <c r="C99" s="153" t="s">
        <v>1582</v>
      </c>
      <c r="D99" s="153">
        <v>4103350200</v>
      </c>
      <c r="E99" s="153" t="s">
        <v>1583</v>
      </c>
      <c r="F99" s="153" t="s">
        <v>1584</v>
      </c>
      <c r="G99" s="153"/>
      <c r="H99" s="153" t="s">
        <v>1585</v>
      </c>
      <c r="I99" s="153" t="s">
        <v>1586</v>
      </c>
      <c r="J99" s="153" t="s">
        <v>359</v>
      </c>
      <c r="K99" s="153" t="s">
        <v>1587</v>
      </c>
      <c r="L99" s="153" t="s">
        <v>1588</v>
      </c>
      <c r="M99" s="153"/>
      <c r="N99" s="153" t="s">
        <v>1068</v>
      </c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</row>
    <row r="100" spans="1:40">
      <c r="A100" s="153">
        <v>164</v>
      </c>
      <c r="B100" s="153" t="s">
        <v>1059</v>
      </c>
      <c r="C100" s="153" t="s">
        <v>1589</v>
      </c>
      <c r="D100" s="153">
        <v>7033602471</v>
      </c>
      <c r="E100" s="153" t="s">
        <v>1590</v>
      </c>
      <c r="F100" s="153" t="s">
        <v>1591</v>
      </c>
      <c r="G100" s="153"/>
      <c r="H100" s="153" t="s">
        <v>1592</v>
      </c>
      <c r="I100" s="153" t="s">
        <v>1546</v>
      </c>
      <c r="J100" s="153" t="s">
        <v>916</v>
      </c>
      <c r="K100" s="153">
        <v>22309</v>
      </c>
      <c r="L100" s="153" t="s">
        <v>1593</v>
      </c>
      <c r="M100" s="153"/>
      <c r="N100" s="153" t="s">
        <v>1068</v>
      </c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</row>
    <row r="101" spans="1:40">
      <c r="A101" s="153">
        <v>319</v>
      </c>
      <c r="B101" s="153" t="s">
        <v>1059</v>
      </c>
      <c r="C101" s="153" t="s">
        <v>1594</v>
      </c>
      <c r="D101" s="153" t="s">
        <v>1595</v>
      </c>
      <c r="E101" s="153" t="s">
        <v>1139</v>
      </c>
      <c r="F101" s="153"/>
      <c r="G101" s="153"/>
      <c r="H101" s="153" t="s">
        <v>1596</v>
      </c>
      <c r="I101" s="153" t="s">
        <v>1597</v>
      </c>
      <c r="J101" s="153" t="s">
        <v>359</v>
      </c>
      <c r="K101" s="153">
        <v>21409</v>
      </c>
      <c r="L101" s="153" t="s">
        <v>1598</v>
      </c>
      <c r="M101" s="153"/>
      <c r="N101" s="153" t="s">
        <v>1068</v>
      </c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</row>
    <row r="102" spans="1:40">
      <c r="A102" s="153">
        <v>279</v>
      </c>
      <c r="B102" s="153" t="s">
        <v>1059</v>
      </c>
      <c r="C102" s="153" t="s">
        <v>1599</v>
      </c>
      <c r="D102" s="153"/>
      <c r="E102" s="153" t="s">
        <v>1139</v>
      </c>
      <c r="F102" s="153"/>
      <c r="G102" s="153"/>
      <c r="H102" s="153" t="s">
        <v>1600</v>
      </c>
      <c r="I102" s="153" t="s">
        <v>1262</v>
      </c>
      <c r="J102" s="153" t="s">
        <v>359</v>
      </c>
      <c r="K102" s="153">
        <v>20879</v>
      </c>
      <c r="L102" s="153" t="s">
        <v>1601</v>
      </c>
      <c r="M102" s="153"/>
      <c r="N102" s="153" t="s">
        <v>1068</v>
      </c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</row>
    <row r="103" spans="1:40">
      <c r="A103" s="153">
        <v>207</v>
      </c>
      <c r="B103" s="153" t="s">
        <v>1059</v>
      </c>
      <c r="C103" s="153" t="s">
        <v>1602</v>
      </c>
      <c r="D103" s="153">
        <v>4106962227</v>
      </c>
      <c r="E103" s="153" t="s">
        <v>1603</v>
      </c>
      <c r="F103" s="153" t="s">
        <v>1604</v>
      </c>
      <c r="G103" s="153"/>
      <c r="H103" s="153" t="s">
        <v>1605</v>
      </c>
      <c r="I103" s="153" t="s">
        <v>1606</v>
      </c>
      <c r="J103" s="153" t="s">
        <v>359</v>
      </c>
      <c r="K103" s="153">
        <v>21784</v>
      </c>
      <c r="L103" s="153" t="s">
        <v>1607</v>
      </c>
      <c r="M103" s="153"/>
      <c r="N103" s="153" t="s">
        <v>1068</v>
      </c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</row>
    <row r="104" spans="1:40">
      <c r="A104" s="153">
        <v>172</v>
      </c>
      <c r="B104" s="153" t="s">
        <v>1059</v>
      </c>
      <c r="C104" s="153" t="s">
        <v>1608</v>
      </c>
      <c r="D104" s="153">
        <v>4107800500</v>
      </c>
      <c r="E104" s="153" t="s">
        <v>1609</v>
      </c>
      <c r="F104" s="153" t="s">
        <v>1610</v>
      </c>
      <c r="G104" s="153"/>
      <c r="H104" s="153" t="s">
        <v>1611</v>
      </c>
      <c r="I104" s="153" t="s">
        <v>1074</v>
      </c>
      <c r="J104" s="153" t="s">
        <v>359</v>
      </c>
      <c r="K104" s="153">
        <v>21237</v>
      </c>
      <c r="L104" s="153" t="s">
        <v>1612</v>
      </c>
      <c r="M104" s="153"/>
      <c r="N104" s="153" t="s">
        <v>1068</v>
      </c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</row>
    <row r="105" spans="1:40">
      <c r="A105" s="153">
        <v>173</v>
      </c>
      <c r="B105" s="153" t="s">
        <v>1059</v>
      </c>
      <c r="C105" s="153" t="s">
        <v>1613</v>
      </c>
      <c r="D105" s="153">
        <v>4109928200</v>
      </c>
      <c r="E105" s="153" t="s">
        <v>1614</v>
      </c>
      <c r="F105" s="153" t="s">
        <v>1615</v>
      </c>
      <c r="G105" s="153"/>
      <c r="H105" s="153" t="s">
        <v>1616</v>
      </c>
      <c r="I105" s="153" t="s">
        <v>1617</v>
      </c>
      <c r="J105" s="153" t="s">
        <v>359</v>
      </c>
      <c r="K105" s="153">
        <v>21045</v>
      </c>
      <c r="L105" s="153" t="s">
        <v>1067</v>
      </c>
      <c r="M105" s="153"/>
      <c r="N105" s="153" t="s">
        <v>1068</v>
      </c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</row>
    <row r="106" spans="1:40">
      <c r="A106" s="153">
        <v>121</v>
      </c>
      <c r="B106" s="153" t="s">
        <v>1059</v>
      </c>
      <c r="C106" s="153" t="s">
        <v>1618</v>
      </c>
      <c r="D106" s="153" t="s">
        <v>1619</v>
      </c>
      <c r="E106" s="153" t="s">
        <v>1620</v>
      </c>
      <c r="F106" s="153" t="s">
        <v>1621</v>
      </c>
      <c r="G106" s="153" t="s">
        <v>1622</v>
      </c>
      <c r="H106" s="153" t="s">
        <v>1623</v>
      </c>
      <c r="I106" s="153" t="s">
        <v>1624</v>
      </c>
      <c r="J106" s="153" t="s">
        <v>359</v>
      </c>
      <c r="K106" s="153">
        <v>20772</v>
      </c>
      <c r="L106" s="153" t="s">
        <v>1625</v>
      </c>
      <c r="M106" s="153"/>
      <c r="N106" s="153" t="s">
        <v>1068</v>
      </c>
      <c r="O106" s="153"/>
      <c r="P106" s="153"/>
      <c r="Q106" s="153"/>
      <c r="R106" s="153"/>
      <c r="S106" s="153"/>
      <c r="T106" s="153"/>
      <c r="U106" s="153" t="s">
        <v>92</v>
      </c>
      <c r="V106" s="153" t="s">
        <v>77</v>
      </c>
      <c r="W106" s="153" t="s">
        <v>1089</v>
      </c>
      <c r="X106" s="153" t="s">
        <v>77</v>
      </c>
      <c r="Y106" s="153" t="s">
        <v>77</v>
      </c>
      <c r="Z106" s="153" t="s">
        <v>77</v>
      </c>
      <c r="AA106" s="153"/>
      <c r="AB106" s="153"/>
      <c r="AC106" s="153"/>
      <c r="AD106" s="153"/>
      <c r="AE106" s="153"/>
      <c r="AF106" s="153"/>
      <c r="AG106" s="153" t="s">
        <v>92</v>
      </c>
      <c r="AH106" s="153" t="s">
        <v>1276</v>
      </c>
      <c r="AI106" s="153" t="s">
        <v>1277</v>
      </c>
      <c r="AJ106" s="153" t="s">
        <v>1090</v>
      </c>
      <c r="AK106" s="153"/>
      <c r="AL106" s="153"/>
      <c r="AM106" s="153"/>
      <c r="AN106" s="153"/>
    </row>
    <row r="107" spans="1:40">
      <c r="A107" s="153">
        <v>107</v>
      </c>
      <c r="B107" s="153" t="s">
        <v>1059</v>
      </c>
      <c r="C107" s="153" t="s">
        <v>1626</v>
      </c>
      <c r="D107" s="153" t="s">
        <v>1627</v>
      </c>
      <c r="E107" s="153"/>
      <c r="F107" s="153"/>
      <c r="G107" s="153"/>
      <c r="H107" s="153" t="s">
        <v>1628</v>
      </c>
      <c r="I107" s="153" t="s">
        <v>1629</v>
      </c>
      <c r="J107" s="153" t="s">
        <v>359</v>
      </c>
      <c r="K107" s="153">
        <v>21801</v>
      </c>
      <c r="L107" s="153" t="s">
        <v>1067</v>
      </c>
      <c r="M107" s="153"/>
      <c r="N107" s="153" t="s">
        <v>1068</v>
      </c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</row>
    <row r="108" spans="1:40">
      <c r="A108" s="153">
        <v>281</v>
      </c>
      <c r="B108" s="153" t="s">
        <v>1059</v>
      </c>
      <c r="C108" s="153" t="s">
        <v>1630</v>
      </c>
      <c r="D108" s="153">
        <v>4107922288</v>
      </c>
      <c r="E108" s="153" t="s">
        <v>1120</v>
      </c>
      <c r="F108" s="153" t="s">
        <v>1631</v>
      </c>
      <c r="G108" s="153"/>
      <c r="H108" s="153" t="s">
        <v>1632</v>
      </c>
      <c r="I108" s="153" t="s">
        <v>1633</v>
      </c>
      <c r="J108" s="153" t="s">
        <v>359</v>
      </c>
      <c r="K108" s="153">
        <v>21770</v>
      </c>
      <c r="L108" s="153" t="s">
        <v>1634</v>
      </c>
      <c r="M108" s="153"/>
      <c r="N108" s="153" t="s">
        <v>1068</v>
      </c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</row>
    <row r="109" spans="1:40">
      <c r="A109" s="153">
        <v>183</v>
      </c>
      <c r="B109" s="153" t="s">
        <v>1059</v>
      </c>
      <c r="C109" s="153" t="s">
        <v>1635</v>
      </c>
      <c r="D109" s="153" t="s">
        <v>1636</v>
      </c>
      <c r="E109" s="153" t="s">
        <v>1637</v>
      </c>
      <c r="F109" s="153" t="s">
        <v>1638</v>
      </c>
      <c r="G109" s="153"/>
      <c r="H109" s="153" t="s">
        <v>1639</v>
      </c>
      <c r="I109" s="153" t="s">
        <v>1640</v>
      </c>
      <c r="J109" s="153" t="s">
        <v>359</v>
      </c>
      <c r="K109" s="153">
        <v>20715</v>
      </c>
      <c r="L109" s="153" t="s">
        <v>1641</v>
      </c>
      <c r="M109" s="153"/>
      <c r="N109" s="153" t="s">
        <v>1068</v>
      </c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/>
    </row>
    <row r="110" spans="1:40">
      <c r="A110" s="153">
        <v>285</v>
      </c>
      <c r="B110" s="153" t="s">
        <v>1059</v>
      </c>
      <c r="C110" s="153" t="s">
        <v>1642</v>
      </c>
      <c r="D110" s="153">
        <v>2409128900</v>
      </c>
      <c r="E110" s="153" t="s">
        <v>1643</v>
      </c>
      <c r="F110" s="153" t="s">
        <v>1644</v>
      </c>
      <c r="G110" s="153"/>
      <c r="H110" s="153" t="s">
        <v>1645</v>
      </c>
      <c r="I110" s="153" t="s">
        <v>1262</v>
      </c>
      <c r="J110" s="153" t="s">
        <v>359</v>
      </c>
      <c r="K110" s="153">
        <v>20879</v>
      </c>
      <c r="L110" s="153" t="s">
        <v>1646</v>
      </c>
      <c r="M110" s="153"/>
      <c r="N110" s="153" t="s">
        <v>1068</v>
      </c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</row>
    <row r="111" spans="1:40">
      <c r="A111" s="153">
        <v>360</v>
      </c>
      <c r="B111" s="153" t="s">
        <v>1059</v>
      </c>
      <c r="C111" s="153" t="s">
        <v>1647</v>
      </c>
      <c r="D111" s="153" t="s">
        <v>1648</v>
      </c>
      <c r="E111" s="153" t="s">
        <v>1649</v>
      </c>
      <c r="F111" s="153" t="s">
        <v>1650</v>
      </c>
      <c r="G111" s="153"/>
      <c r="H111" s="153" t="s">
        <v>1651</v>
      </c>
      <c r="I111" s="153" t="s">
        <v>1422</v>
      </c>
      <c r="J111" s="153" t="s">
        <v>916</v>
      </c>
      <c r="K111" s="153">
        <v>20151</v>
      </c>
      <c r="L111" s="153" t="s">
        <v>1652</v>
      </c>
      <c r="M111" s="153"/>
      <c r="N111" s="153" t="s">
        <v>1068</v>
      </c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</row>
    <row r="112" spans="1:40">
      <c r="A112" s="153">
        <v>351</v>
      </c>
      <c r="B112" s="153" t="s">
        <v>1059</v>
      </c>
      <c r="C112" s="153" t="s">
        <v>1653</v>
      </c>
      <c r="D112" s="153"/>
      <c r="E112" s="153" t="s">
        <v>1654</v>
      </c>
      <c r="F112" s="153" t="s">
        <v>1655</v>
      </c>
      <c r="G112" s="153"/>
      <c r="H112" s="153"/>
      <c r="I112" s="153"/>
      <c r="J112" s="153"/>
      <c r="K112" s="153"/>
      <c r="L112" s="153" t="s">
        <v>1656</v>
      </c>
      <c r="M112" s="153"/>
      <c r="N112" s="153" t="s">
        <v>1068</v>
      </c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</row>
    <row r="113" spans="1:40">
      <c r="A113" s="153">
        <v>35</v>
      </c>
      <c r="B113" s="153" t="s">
        <v>1059</v>
      </c>
      <c r="C113" s="153" t="s">
        <v>1657</v>
      </c>
      <c r="D113" s="153">
        <v>4438171700</v>
      </c>
      <c r="E113" s="153" t="s">
        <v>1658</v>
      </c>
      <c r="F113" s="153" t="s">
        <v>1659</v>
      </c>
      <c r="G113" s="153"/>
      <c r="H113" s="153" t="s">
        <v>1660</v>
      </c>
      <c r="I113" s="153" t="s">
        <v>1661</v>
      </c>
      <c r="J113" s="153" t="s">
        <v>359</v>
      </c>
      <c r="K113" s="153">
        <v>21226</v>
      </c>
      <c r="L113" s="153" t="s">
        <v>1662</v>
      </c>
      <c r="M113" s="153"/>
      <c r="N113" s="153" t="s">
        <v>1068</v>
      </c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</row>
    <row r="114" spans="1:40">
      <c r="A114" s="153">
        <v>14</v>
      </c>
      <c r="B114" s="153" t="s">
        <v>1059</v>
      </c>
      <c r="C114" s="153" t="s">
        <v>1663</v>
      </c>
      <c r="D114" s="153" t="s">
        <v>1664</v>
      </c>
      <c r="E114" s="153" t="s">
        <v>1665</v>
      </c>
      <c r="F114" s="153" t="s">
        <v>1666</v>
      </c>
      <c r="G114" s="153"/>
      <c r="H114" s="153" t="s">
        <v>1667</v>
      </c>
      <c r="I114" s="153" t="s">
        <v>1668</v>
      </c>
      <c r="J114" s="153" t="s">
        <v>359</v>
      </c>
      <c r="K114" s="153">
        <v>20895</v>
      </c>
      <c r="L114" s="153" t="s">
        <v>1669</v>
      </c>
      <c r="M114" s="153"/>
      <c r="N114" s="153" t="s">
        <v>1068</v>
      </c>
      <c r="O114" s="153"/>
      <c r="P114" s="153"/>
      <c r="Q114" s="153"/>
      <c r="R114" s="153"/>
      <c r="S114" s="153"/>
      <c r="T114" s="153"/>
      <c r="U114" s="153"/>
      <c r="V114" s="153" t="s">
        <v>77</v>
      </c>
      <c r="W114" s="153" t="s">
        <v>1089</v>
      </c>
      <c r="X114" s="153" t="s">
        <v>77</v>
      </c>
      <c r="Y114" s="153" t="s">
        <v>77</v>
      </c>
      <c r="Z114" s="153" t="s">
        <v>77</v>
      </c>
      <c r="AA114" s="153"/>
      <c r="AB114" s="153"/>
      <c r="AC114" s="153"/>
      <c r="AD114" s="153"/>
      <c r="AE114" s="153"/>
      <c r="AF114" s="153"/>
      <c r="AG114" s="153" t="s">
        <v>92</v>
      </c>
      <c r="AH114" s="153"/>
      <c r="AI114" s="153"/>
      <c r="AJ114" s="153"/>
      <c r="AK114" s="153"/>
      <c r="AL114" s="153"/>
      <c r="AM114" s="153"/>
      <c r="AN114" s="153"/>
    </row>
    <row r="115" spans="1:40">
      <c r="A115" s="153">
        <v>5</v>
      </c>
      <c r="B115" s="153" t="s">
        <v>1059</v>
      </c>
      <c r="C115" s="153" t="s">
        <v>1670</v>
      </c>
      <c r="D115" s="153">
        <v>4103043220</v>
      </c>
      <c r="E115" s="153" t="s">
        <v>1671</v>
      </c>
      <c r="F115" s="153" t="s">
        <v>1672</v>
      </c>
      <c r="G115" s="153"/>
      <c r="H115" s="153" t="s">
        <v>1673</v>
      </c>
      <c r="I115" s="153" t="s">
        <v>1405</v>
      </c>
      <c r="J115" s="153" t="s">
        <v>359</v>
      </c>
      <c r="K115" s="153">
        <v>21114</v>
      </c>
      <c r="L115" s="153" t="s">
        <v>1674</v>
      </c>
      <c r="M115" s="153"/>
      <c r="N115" s="153" t="s">
        <v>1068</v>
      </c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  <c r="AD115" s="153"/>
      <c r="AE115" s="153"/>
      <c r="AF115" s="153"/>
      <c r="AG115" s="153"/>
      <c r="AH115" s="153"/>
      <c r="AI115" s="153"/>
      <c r="AJ115" s="153"/>
      <c r="AK115" s="153"/>
      <c r="AL115" s="153"/>
      <c r="AM115" s="153"/>
      <c r="AN115" s="153"/>
    </row>
    <row r="116" spans="1:40">
      <c r="A116" s="153">
        <v>189</v>
      </c>
      <c r="B116" s="153" t="s">
        <v>1059</v>
      </c>
      <c r="C116" s="153" t="s">
        <v>1675</v>
      </c>
      <c r="D116" s="153">
        <v>7033305094</v>
      </c>
      <c r="E116" s="153" t="s">
        <v>1676</v>
      </c>
      <c r="F116" s="153" t="s">
        <v>1677</v>
      </c>
      <c r="G116" s="153"/>
      <c r="H116" s="153" t="s">
        <v>1678</v>
      </c>
      <c r="I116" s="153" t="s">
        <v>1101</v>
      </c>
      <c r="J116" s="153" t="s">
        <v>359</v>
      </c>
      <c r="K116" s="153">
        <v>20110</v>
      </c>
      <c r="L116" s="153" t="s">
        <v>1067</v>
      </c>
      <c r="M116" s="153"/>
      <c r="N116" s="153" t="s">
        <v>1068</v>
      </c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3"/>
      <c r="AJ116" s="153"/>
      <c r="AK116" s="153"/>
      <c r="AL116" s="153"/>
      <c r="AM116" s="153"/>
      <c r="AN116" s="153"/>
    </row>
    <row r="117" spans="1:40">
      <c r="A117" s="153">
        <v>399</v>
      </c>
      <c r="B117" s="153" t="s">
        <v>1059</v>
      </c>
      <c r="C117" s="153" t="s">
        <v>1679</v>
      </c>
      <c r="D117" s="153" t="s">
        <v>1680</v>
      </c>
      <c r="E117" s="153"/>
      <c r="F117" s="153"/>
      <c r="G117" s="153"/>
      <c r="H117" s="153" t="s">
        <v>1681</v>
      </c>
      <c r="I117" s="153" t="s">
        <v>1624</v>
      </c>
      <c r="J117" s="153" t="s">
        <v>359</v>
      </c>
      <c r="K117" s="153">
        <v>20772</v>
      </c>
      <c r="L117" s="153" t="s">
        <v>1067</v>
      </c>
      <c r="M117" s="153"/>
      <c r="N117" s="153" t="s">
        <v>1068</v>
      </c>
      <c r="O117" s="153"/>
      <c r="P117" s="153"/>
      <c r="Q117" s="153"/>
      <c r="R117" s="153"/>
      <c r="S117" s="153"/>
      <c r="T117" s="153"/>
      <c r="U117" s="153" t="s">
        <v>92</v>
      </c>
      <c r="V117" s="153" t="s">
        <v>77</v>
      </c>
      <c r="W117" s="153" t="s">
        <v>1296</v>
      </c>
      <c r="X117" s="153" t="s">
        <v>77</v>
      </c>
      <c r="Y117" s="153" t="s">
        <v>77</v>
      </c>
      <c r="Z117" s="153" t="s">
        <v>77</v>
      </c>
      <c r="AA117" s="153"/>
      <c r="AB117" s="153"/>
      <c r="AC117" s="153"/>
      <c r="AD117" s="153"/>
      <c r="AE117" s="153"/>
      <c r="AF117" s="153"/>
      <c r="AG117" s="153" t="s">
        <v>92</v>
      </c>
      <c r="AH117" s="153" t="s">
        <v>1276</v>
      </c>
      <c r="AI117" s="153" t="s">
        <v>1277</v>
      </c>
      <c r="AJ117" s="153" t="s">
        <v>1090</v>
      </c>
      <c r="AK117" s="153"/>
      <c r="AL117" s="153"/>
      <c r="AM117" s="153"/>
      <c r="AN117" s="153"/>
    </row>
    <row r="118" spans="1:40">
      <c r="A118" s="153">
        <v>194</v>
      </c>
      <c r="B118" s="153" t="s">
        <v>1059</v>
      </c>
      <c r="C118" s="153" t="s">
        <v>1682</v>
      </c>
      <c r="D118" s="153">
        <v>4108664900</v>
      </c>
      <c r="E118" s="153" t="s">
        <v>1683</v>
      </c>
      <c r="F118" s="153" t="s">
        <v>1684</v>
      </c>
      <c r="G118" s="153"/>
      <c r="H118" s="153" t="s">
        <v>1685</v>
      </c>
      <c r="I118" s="153" t="s">
        <v>1074</v>
      </c>
      <c r="J118" s="153" t="s">
        <v>359</v>
      </c>
      <c r="K118" s="153">
        <v>21206</v>
      </c>
      <c r="L118" s="153" t="s">
        <v>1686</v>
      </c>
      <c r="M118" s="153"/>
      <c r="N118" s="153" t="s">
        <v>1068</v>
      </c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</row>
    <row r="119" spans="1:40">
      <c r="A119" s="153">
        <v>195</v>
      </c>
      <c r="B119" s="153" t="s">
        <v>1059</v>
      </c>
      <c r="C119" s="153" t="s">
        <v>1687</v>
      </c>
      <c r="D119" s="153" t="s">
        <v>1688</v>
      </c>
      <c r="E119" s="153" t="s">
        <v>1689</v>
      </c>
      <c r="F119" s="153" t="s">
        <v>1690</v>
      </c>
      <c r="G119" s="153"/>
      <c r="H119" s="153" t="s">
        <v>1691</v>
      </c>
      <c r="I119" s="153" t="s">
        <v>1692</v>
      </c>
      <c r="J119" s="153" t="s">
        <v>359</v>
      </c>
      <c r="K119" s="153">
        <v>20735</v>
      </c>
      <c r="L119" s="153" t="s">
        <v>1067</v>
      </c>
      <c r="M119" s="153"/>
      <c r="N119" s="153" t="s">
        <v>1068</v>
      </c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</row>
    <row r="120" spans="1:40">
      <c r="A120" s="153">
        <v>284</v>
      </c>
      <c r="B120" s="153" t="s">
        <v>1059</v>
      </c>
      <c r="C120" s="153" t="s">
        <v>1693</v>
      </c>
      <c r="D120" s="153" t="s">
        <v>1694</v>
      </c>
      <c r="E120" s="153" t="s">
        <v>1695</v>
      </c>
      <c r="F120" s="153" t="s">
        <v>1696</v>
      </c>
      <c r="G120" s="153"/>
      <c r="H120" s="153"/>
      <c r="I120" s="153"/>
      <c r="J120" s="153"/>
      <c r="K120" s="153"/>
      <c r="L120" s="153" t="s">
        <v>1067</v>
      </c>
      <c r="M120" s="153"/>
      <c r="N120" s="153" t="s">
        <v>1068</v>
      </c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3"/>
      <c r="AE120" s="153"/>
      <c r="AF120" s="153"/>
      <c r="AG120" s="153"/>
      <c r="AH120" s="153"/>
      <c r="AI120" s="153"/>
      <c r="AJ120" s="153"/>
      <c r="AK120" s="153"/>
      <c r="AL120" s="153"/>
      <c r="AM120" s="153"/>
      <c r="AN120" s="153"/>
    </row>
    <row r="121" spans="1:40">
      <c r="A121" s="153">
        <v>158</v>
      </c>
      <c r="B121" s="153" t="s">
        <v>1059</v>
      </c>
      <c r="C121" s="153" t="s">
        <v>1697</v>
      </c>
      <c r="D121" s="153" t="s">
        <v>1698</v>
      </c>
      <c r="E121" s="153" t="s">
        <v>1699</v>
      </c>
      <c r="F121" s="153" t="s">
        <v>1700</v>
      </c>
      <c r="G121" s="153"/>
      <c r="H121" s="153" t="s">
        <v>1701</v>
      </c>
      <c r="I121" s="153" t="s">
        <v>1096</v>
      </c>
      <c r="J121" s="153" t="s">
        <v>172</v>
      </c>
      <c r="K121" s="153">
        <v>20002</v>
      </c>
      <c r="L121" s="153" t="s">
        <v>1067</v>
      </c>
      <c r="M121" s="153"/>
      <c r="N121" s="153" t="s">
        <v>1068</v>
      </c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</row>
    <row r="122" spans="1:40">
      <c r="A122" s="153">
        <v>397</v>
      </c>
      <c r="B122" s="153" t="s">
        <v>1059</v>
      </c>
      <c r="C122" s="153" t="s">
        <v>1702</v>
      </c>
      <c r="D122" s="153" t="s">
        <v>1703</v>
      </c>
      <c r="E122" s="153"/>
      <c r="F122" s="153"/>
      <c r="G122" s="153"/>
      <c r="H122" s="153" t="s">
        <v>1704</v>
      </c>
      <c r="I122" s="153" t="s">
        <v>1705</v>
      </c>
      <c r="J122" s="153" t="s">
        <v>359</v>
      </c>
      <c r="K122" s="153">
        <v>20722</v>
      </c>
      <c r="L122" s="153" t="s">
        <v>1067</v>
      </c>
      <c r="M122" s="153"/>
      <c r="N122" s="153" t="s">
        <v>1068</v>
      </c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  <c r="AH122" s="153"/>
      <c r="AI122" s="153"/>
      <c r="AJ122" s="153"/>
      <c r="AK122" s="153"/>
      <c r="AL122" s="153"/>
      <c r="AM122" s="153"/>
      <c r="AN122" s="153"/>
    </row>
    <row r="123" spans="1:40">
      <c r="A123" s="153">
        <v>199</v>
      </c>
      <c r="B123" s="153" t="s">
        <v>1059</v>
      </c>
      <c r="C123" s="153" t="s">
        <v>1706</v>
      </c>
      <c r="D123" s="153">
        <v>4106868900</v>
      </c>
      <c r="E123" s="153" t="s">
        <v>1707</v>
      </c>
      <c r="F123" s="153" t="s">
        <v>1708</v>
      </c>
      <c r="G123" s="153"/>
      <c r="H123" s="153" t="s">
        <v>1709</v>
      </c>
      <c r="I123" s="153" t="s">
        <v>1503</v>
      </c>
      <c r="J123" s="153" t="s">
        <v>359</v>
      </c>
      <c r="K123" s="153">
        <v>21220</v>
      </c>
      <c r="L123" s="153" t="s">
        <v>1067</v>
      </c>
      <c r="M123" s="153"/>
      <c r="N123" s="153" t="s">
        <v>1068</v>
      </c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</row>
    <row r="124" spans="1:40">
      <c r="A124" s="153">
        <v>89</v>
      </c>
      <c r="B124" s="153" t="s">
        <v>1059</v>
      </c>
      <c r="C124" s="153" t="s">
        <v>1710</v>
      </c>
      <c r="D124" s="153" t="s">
        <v>1711</v>
      </c>
      <c r="E124" s="153" t="s">
        <v>1126</v>
      </c>
      <c r="F124" s="153" t="s">
        <v>1712</v>
      </c>
      <c r="G124" s="153"/>
      <c r="H124" s="153" t="s">
        <v>1713</v>
      </c>
      <c r="I124" s="153" t="s">
        <v>1476</v>
      </c>
      <c r="J124" s="153" t="s">
        <v>916</v>
      </c>
      <c r="K124" s="153">
        <v>20147</v>
      </c>
      <c r="L124" s="153" t="s">
        <v>1714</v>
      </c>
      <c r="M124" s="153"/>
      <c r="N124" s="153" t="s">
        <v>1068</v>
      </c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</row>
    <row r="125" spans="1:40">
      <c r="A125" s="153">
        <v>206</v>
      </c>
      <c r="B125" s="153" t="s">
        <v>1059</v>
      </c>
      <c r="C125" s="153" t="s">
        <v>1715</v>
      </c>
      <c r="D125" s="153" t="s">
        <v>1716</v>
      </c>
      <c r="E125" s="153"/>
      <c r="F125" s="153"/>
      <c r="G125" s="153"/>
      <c r="H125" s="153" t="s">
        <v>1717</v>
      </c>
      <c r="I125" s="153" t="s">
        <v>1419</v>
      </c>
      <c r="J125" s="153" t="s">
        <v>359</v>
      </c>
      <c r="K125" s="153">
        <v>21061</v>
      </c>
      <c r="L125" s="153" t="s">
        <v>1067</v>
      </c>
      <c r="M125" s="153"/>
      <c r="N125" s="153" t="s">
        <v>1068</v>
      </c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</row>
    <row r="126" spans="1:40">
      <c r="A126" s="153">
        <v>203</v>
      </c>
      <c r="B126" s="153" t="s">
        <v>1059</v>
      </c>
      <c r="C126" s="153" t="s">
        <v>1718</v>
      </c>
      <c r="D126" s="153">
        <v>4108664900</v>
      </c>
      <c r="E126" s="153" t="s">
        <v>1719</v>
      </c>
      <c r="F126" s="153" t="s">
        <v>1720</v>
      </c>
      <c r="G126" s="153"/>
      <c r="H126" s="153" t="s">
        <v>1721</v>
      </c>
      <c r="I126" s="153" t="s">
        <v>1074</v>
      </c>
      <c r="J126" s="153" t="s">
        <v>359</v>
      </c>
      <c r="K126" s="153">
        <v>21237</v>
      </c>
      <c r="L126" s="153" t="s">
        <v>1722</v>
      </c>
      <c r="M126" s="153"/>
      <c r="N126" s="153" t="s">
        <v>1068</v>
      </c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</row>
    <row r="127" spans="1:40">
      <c r="A127" s="153">
        <v>399</v>
      </c>
      <c r="B127" s="153" t="s">
        <v>1059</v>
      </c>
      <c r="C127" s="153" t="s">
        <v>1723</v>
      </c>
      <c r="D127" s="153" t="s">
        <v>1724</v>
      </c>
      <c r="E127" s="153" t="s">
        <v>1725</v>
      </c>
      <c r="F127" s="153" t="s">
        <v>1726</v>
      </c>
      <c r="G127" s="153"/>
      <c r="H127" s="153" t="s">
        <v>1727</v>
      </c>
      <c r="I127" s="153" t="s">
        <v>1074</v>
      </c>
      <c r="J127" s="153" t="s">
        <v>359</v>
      </c>
      <c r="K127" s="153">
        <v>21237</v>
      </c>
      <c r="L127" s="153" t="s">
        <v>1067</v>
      </c>
      <c r="M127" s="153"/>
      <c r="N127" s="153" t="s">
        <v>1068</v>
      </c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</row>
    <row r="128" spans="1:40">
      <c r="A128" s="153">
        <v>354</v>
      </c>
      <c r="B128" s="153" t="s">
        <v>1059</v>
      </c>
      <c r="C128" s="153" t="s">
        <v>1728</v>
      </c>
      <c r="D128" s="153">
        <v>5403492408</v>
      </c>
      <c r="E128" s="153" t="s">
        <v>1729</v>
      </c>
      <c r="F128" s="153" t="s">
        <v>1730</v>
      </c>
      <c r="G128" s="153"/>
      <c r="H128" s="153" t="s">
        <v>1731</v>
      </c>
      <c r="I128" s="153" t="s">
        <v>1732</v>
      </c>
      <c r="J128" s="153" t="s">
        <v>916</v>
      </c>
      <c r="K128" s="153">
        <v>20187</v>
      </c>
      <c r="L128" s="153" t="s">
        <v>1733</v>
      </c>
      <c r="M128" s="153"/>
      <c r="N128" s="153" t="s">
        <v>1068</v>
      </c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</row>
    <row r="129" spans="1:40">
      <c r="A129" s="153">
        <v>352</v>
      </c>
      <c r="B129" s="153" t="s">
        <v>1059</v>
      </c>
      <c r="C129" s="153" t="s">
        <v>1734</v>
      </c>
      <c r="D129" s="153">
        <v>4105616348</v>
      </c>
      <c r="E129" s="153" t="s">
        <v>1735</v>
      </c>
      <c r="F129" s="153" t="s">
        <v>1736</v>
      </c>
      <c r="G129" s="153"/>
      <c r="H129" s="153" t="s">
        <v>1737</v>
      </c>
      <c r="I129" s="153" t="s">
        <v>1738</v>
      </c>
      <c r="J129" s="153" t="s">
        <v>359</v>
      </c>
      <c r="K129" s="153">
        <v>21017</v>
      </c>
      <c r="L129" s="153" t="s">
        <v>1739</v>
      </c>
      <c r="M129" s="153"/>
      <c r="N129" s="153" t="s">
        <v>1068</v>
      </c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</row>
    <row r="130" spans="1:40">
      <c r="A130" s="153">
        <v>375</v>
      </c>
      <c r="B130" s="153" t="s">
        <v>1059</v>
      </c>
      <c r="C130" s="153" t="s">
        <v>1740</v>
      </c>
      <c r="D130" s="153" t="s">
        <v>1741</v>
      </c>
      <c r="E130" s="153" t="s">
        <v>1139</v>
      </c>
      <c r="F130" s="153"/>
      <c r="G130" s="153"/>
      <c r="H130" s="153" t="s">
        <v>1742</v>
      </c>
      <c r="I130" s="153" t="s">
        <v>1187</v>
      </c>
      <c r="J130" s="153" t="s">
        <v>359</v>
      </c>
      <c r="K130" s="153">
        <v>21050</v>
      </c>
      <c r="L130" s="153" t="s">
        <v>1743</v>
      </c>
      <c r="M130" s="153"/>
      <c r="N130" s="153" t="s">
        <v>1068</v>
      </c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</row>
    <row r="131" spans="1:40">
      <c r="A131" s="153">
        <v>204</v>
      </c>
      <c r="B131" s="153" t="s">
        <v>1059</v>
      </c>
      <c r="C131" s="153" t="s">
        <v>1744</v>
      </c>
      <c r="D131" s="153" t="s">
        <v>1745</v>
      </c>
      <c r="E131" s="153" t="s">
        <v>1746</v>
      </c>
      <c r="F131" s="153" t="s">
        <v>1747</v>
      </c>
      <c r="G131" s="153"/>
      <c r="H131" s="153" t="s">
        <v>1748</v>
      </c>
      <c r="I131" s="153" t="s">
        <v>1749</v>
      </c>
      <c r="J131" s="153" t="s">
        <v>932</v>
      </c>
      <c r="K131" s="153">
        <v>17345</v>
      </c>
      <c r="L131" s="153" t="s">
        <v>1067</v>
      </c>
      <c r="M131" s="153"/>
      <c r="N131" s="153" t="s">
        <v>1068</v>
      </c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</row>
    <row r="132" spans="1:40">
      <c r="A132" s="153">
        <v>396</v>
      </c>
      <c r="B132" s="153" t="s">
        <v>1059</v>
      </c>
      <c r="C132" s="153" t="s">
        <v>1750</v>
      </c>
      <c r="D132" s="153" t="s">
        <v>1751</v>
      </c>
      <c r="E132" s="153" t="s">
        <v>1139</v>
      </c>
      <c r="F132" s="153"/>
      <c r="G132" s="153"/>
      <c r="H132" s="153" t="s">
        <v>1752</v>
      </c>
      <c r="I132" s="153" t="s">
        <v>1346</v>
      </c>
      <c r="J132" s="153" t="s">
        <v>359</v>
      </c>
      <c r="K132" s="153">
        <v>20639</v>
      </c>
      <c r="L132" s="153" t="s">
        <v>1753</v>
      </c>
      <c r="M132" s="153"/>
      <c r="N132" s="153" t="s">
        <v>1068</v>
      </c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</row>
    <row r="133" spans="1:40">
      <c r="A133" s="153">
        <v>207</v>
      </c>
      <c r="B133" s="153" t="s">
        <v>1059</v>
      </c>
      <c r="C133" s="153" t="s">
        <v>1754</v>
      </c>
      <c r="D133" s="153">
        <v>3013905500</v>
      </c>
      <c r="E133" s="153" t="s">
        <v>1755</v>
      </c>
      <c r="F133" s="153" t="s">
        <v>1756</v>
      </c>
      <c r="G133" s="153"/>
      <c r="H133" s="153" t="s">
        <v>1757</v>
      </c>
      <c r="I133" s="153" t="s">
        <v>1624</v>
      </c>
      <c r="J133" s="153" t="s">
        <v>359</v>
      </c>
      <c r="K133" s="153">
        <v>20774</v>
      </c>
      <c r="L133" s="153" t="s">
        <v>1758</v>
      </c>
      <c r="M133" s="153"/>
      <c r="N133" s="153" t="s">
        <v>1068</v>
      </c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</row>
    <row r="134" spans="1:40">
      <c r="A134" s="153">
        <v>336</v>
      </c>
      <c r="B134" s="153" t="s">
        <v>1059</v>
      </c>
      <c r="C134" s="153" t="s">
        <v>1759</v>
      </c>
      <c r="D134" s="153" t="s">
        <v>1760</v>
      </c>
      <c r="E134" s="153" t="s">
        <v>1761</v>
      </c>
      <c r="F134" s="153" t="s">
        <v>1762</v>
      </c>
      <c r="G134" s="153"/>
      <c r="H134" s="153"/>
      <c r="I134" s="153"/>
      <c r="J134" s="153"/>
      <c r="K134" s="153"/>
      <c r="L134" s="153" t="s">
        <v>1763</v>
      </c>
      <c r="M134" s="153"/>
      <c r="N134" s="153" t="s">
        <v>1068</v>
      </c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</row>
    <row r="135" spans="1:40">
      <c r="A135" s="153">
        <v>383</v>
      </c>
      <c r="B135" s="153" t="s">
        <v>1059</v>
      </c>
      <c r="C135" s="153" t="s">
        <v>1764</v>
      </c>
      <c r="D135" s="153"/>
      <c r="E135" s="153"/>
      <c r="F135" s="153"/>
      <c r="G135" s="153"/>
      <c r="H135" s="153"/>
      <c r="I135" s="153"/>
      <c r="J135" s="153"/>
      <c r="K135" s="153"/>
      <c r="L135" s="153" t="s">
        <v>1067</v>
      </c>
      <c r="M135" s="153"/>
      <c r="N135" s="153" t="s">
        <v>1068</v>
      </c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</row>
    <row r="136" spans="1:40">
      <c r="A136" s="153">
        <v>209</v>
      </c>
      <c r="B136" s="153" t="s">
        <v>1059</v>
      </c>
      <c r="C136" s="153" t="s">
        <v>1765</v>
      </c>
      <c r="D136" s="153">
        <v>2027836100</v>
      </c>
      <c r="E136" s="153" t="s">
        <v>1766</v>
      </c>
      <c r="F136" s="153" t="s">
        <v>1767</v>
      </c>
      <c r="G136" s="153"/>
      <c r="H136" s="153" t="s">
        <v>1768</v>
      </c>
      <c r="I136" s="153" t="s">
        <v>1066</v>
      </c>
      <c r="J136" s="153" t="s">
        <v>359</v>
      </c>
      <c r="K136" s="153">
        <v>20705</v>
      </c>
      <c r="L136" s="153" t="s">
        <v>1067</v>
      </c>
      <c r="M136" s="153"/>
      <c r="N136" s="153" t="s">
        <v>1068</v>
      </c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</row>
    <row r="137" spans="1:40">
      <c r="A137" s="153">
        <v>288</v>
      </c>
      <c r="B137" s="153" t="s">
        <v>1059</v>
      </c>
      <c r="C137" s="153" t="s">
        <v>1769</v>
      </c>
      <c r="D137" s="153">
        <v>3532142350</v>
      </c>
      <c r="E137" s="153" t="s">
        <v>1770</v>
      </c>
      <c r="F137" s="153" t="s">
        <v>1771</v>
      </c>
      <c r="G137" s="153"/>
      <c r="H137" s="153" t="s">
        <v>1772</v>
      </c>
      <c r="I137" s="153" t="s">
        <v>1773</v>
      </c>
      <c r="J137" s="153" t="s">
        <v>359</v>
      </c>
      <c r="K137" s="153">
        <v>21152</v>
      </c>
      <c r="L137" s="153" t="s">
        <v>1067</v>
      </c>
      <c r="M137" s="153"/>
      <c r="N137" s="153" t="s">
        <v>1068</v>
      </c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</row>
    <row r="138" spans="1:40">
      <c r="A138" s="153">
        <v>298</v>
      </c>
      <c r="B138" s="153" t="s">
        <v>1059</v>
      </c>
      <c r="C138" s="153" t="s">
        <v>1774</v>
      </c>
      <c r="D138" s="153" t="s">
        <v>1775</v>
      </c>
      <c r="E138" s="153" t="s">
        <v>1776</v>
      </c>
      <c r="F138" s="153" t="s">
        <v>1777</v>
      </c>
      <c r="G138" s="153"/>
      <c r="H138" s="153" t="s">
        <v>1778</v>
      </c>
      <c r="I138" s="153" t="s">
        <v>1779</v>
      </c>
      <c r="J138" s="153" t="s">
        <v>359</v>
      </c>
      <c r="K138" s="153">
        <v>21113</v>
      </c>
      <c r="L138" s="153" t="s">
        <v>1067</v>
      </c>
      <c r="M138" s="153"/>
      <c r="N138" s="153" t="s">
        <v>1068</v>
      </c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</row>
    <row r="139" spans="1:40">
      <c r="A139" s="153">
        <v>144</v>
      </c>
      <c r="B139" s="153" t="s">
        <v>1059</v>
      </c>
      <c r="C139" s="153" t="s">
        <v>1780</v>
      </c>
      <c r="D139" s="153" t="s">
        <v>1781</v>
      </c>
      <c r="E139" s="153" t="s">
        <v>1782</v>
      </c>
      <c r="F139" s="153" t="s">
        <v>1783</v>
      </c>
      <c r="G139" s="153"/>
      <c r="H139" s="153" t="s">
        <v>1784</v>
      </c>
      <c r="I139" s="153" t="s">
        <v>1785</v>
      </c>
      <c r="J139" s="153" t="s">
        <v>932</v>
      </c>
      <c r="K139" s="153">
        <v>17315</v>
      </c>
      <c r="L139" s="153" t="s">
        <v>1067</v>
      </c>
      <c r="M139" s="153"/>
      <c r="N139" s="153" t="s">
        <v>1068</v>
      </c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</row>
    <row r="140" spans="1:40">
      <c r="A140" s="153">
        <v>262</v>
      </c>
      <c r="B140" s="153" t="s">
        <v>1059</v>
      </c>
      <c r="C140" s="153" t="s">
        <v>1786</v>
      </c>
      <c r="D140" s="153">
        <v>4105465700</v>
      </c>
      <c r="E140" s="153" t="s">
        <v>1787</v>
      </c>
      <c r="F140" s="153" t="s">
        <v>1788</v>
      </c>
      <c r="G140" s="153"/>
      <c r="H140" s="153" t="s">
        <v>1789</v>
      </c>
      <c r="I140" s="153" t="s">
        <v>1629</v>
      </c>
      <c r="J140" s="153" t="s">
        <v>359</v>
      </c>
      <c r="K140" s="153">
        <v>21801</v>
      </c>
      <c r="L140" s="153" t="s">
        <v>1067</v>
      </c>
      <c r="M140" s="153"/>
      <c r="N140" s="153" t="s">
        <v>1068</v>
      </c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</row>
    <row r="141" spans="1:40">
      <c r="A141" s="153">
        <v>371</v>
      </c>
      <c r="B141" s="153" t="s">
        <v>1059</v>
      </c>
      <c r="C141" s="153" t="s">
        <v>1790</v>
      </c>
      <c r="D141" s="153"/>
      <c r="E141" s="153" t="s">
        <v>1791</v>
      </c>
      <c r="F141" s="153" t="s">
        <v>1792</v>
      </c>
      <c r="G141" s="153"/>
      <c r="H141" s="153" t="s">
        <v>1793</v>
      </c>
      <c r="I141" s="153" t="s">
        <v>1405</v>
      </c>
      <c r="J141" s="153" t="s">
        <v>359</v>
      </c>
      <c r="K141" s="153">
        <v>21114</v>
      </c>
      <c r="L141" s="153" t="s">
        <v>1794</v>
      </c>
      <c r="M141" s="153"/>
      <c r="N141" s="153" t="s">
        <v>1068</v>
      </c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</row>
    <row r="142" spans="1:40">
      <c r="A142" s="153">
        <v>210</v>
      </c>
      <c r="B142" s="153" t="s">
        <v>1059</v>
      </c>
      <c r="C142" s="153" t="s">
        <v>1795</v>
      </c>
      <c r="D142" s="153">
        <v>2402405060</v>
      </c>
      <c r="E142" s="153" t="s">
        <v>1796</v>
      </c>
      <c r="F142" s="153" t="s">
        <v>1797</v>
      </c>
      <c r="G142" s="153"/>
      <c r="H142" s="153" t="s">
        <v>1798</v>
      </c>
      <c r="I142" s="153" t="s">
        <v>1484</v>
      </c>
      <c r="J142" s="153" t="s">
        <v>359</v>
      </c>
      <c r="K142" s="153">
        <v>20794</v>
      </c>
      <c r="L142" s="153" t="s">
        <v>1799</v>
      </c>
      <c r="M142" s="153"/>
      <c r="N142" s="153" t="s">
        <v>1068</v>
      </c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</row>
    <row r="143" spans="1:40">
      <c r="A143" s="153">
        <v>214</v>
      </c>
      <c r="B143" s="153" t="s">
        <v>1059</v>
      </c>
      <c r="C143" s="153" t="s">
        <v>1800</v>
      </c>
      <c r="D143" s="153">
        <v>3014243410</v>
      </c>
      <c r="E143" s="153" t="s">
        <v>1801</v>
      </c>
      <c r="F143" s="153" t="s">
        <v>1802</v>
      </c>
      <c r="G143" s="153"/>
      <c r="H143" s="153" t="s">
        <v>1803</v>
      </c>
      <c r="I143" s="153" t="s">
        <v>1462</v>
      </c>
      <c r="J143" s="153" t="s">
        <v>359</v>
      </c>
      <c r="K143" s="153">
        <v>20852</v>
      </c>
      <c r="L143" s="153" t="s">
        <v>1067</v>
      </c>
      <c r="M143" s="153"/>
      <c r="N143" s="153" t="s">
        <v>1068</v>
      </c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3"/>
      <c r="AJ143" s="153"/>
      <c r="AK143" s="153"/>
      <c r="AL143" s="153"/>
      <c r="AM143" s="153"/>
      <c r="AN143" s="153"/>
    </row>
    <row r="144" spans="1:40">
      <c r="A144" s="153">
        <v>217</v>
      </c>
      <c r="B144" s="153" t="s">
        <v>1059</v>
      </c>
      <c r="C144" s="153" t="s">
        <v>1804</v>
      </c>
      <c r="D144" s="153">
        <v>3017366585</v>
      </c>
      <c r="E144" s="153" t="s">
        <v>1805</v>
      </c>
      <c r="F144" s="153" t="s">
        <v>1806</v>
      </c>
      <c r="G144" s="153"/>
      <c r="H144" s="153" t="s">
        <v>1807</v>
      </c>
      <c r="I144" s="153" t="s">
        <v>1624</v>
      </c>
      <c r="J144" s="153" t="s">
        <v>359</v>
      </c>
      <c r="K144" s="153">
        <v>20772</v>
      </c>
      <c r="L144" s="153" t="s">
        <v>1067</v>
      </c>
      <c r="M144" s="153"/>
      <c r="N144" s="153" t="s">
        <v>1068</v>
      </c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</row>
    <row r="145" spans="1:40">
      <c r="A145" s="153">
        <v>220</v>
      </c>
      <c r="B145" s="153" t="s">
        <v>1059</v>
      </c>
      <c r="C145" s="153" t="s">
        <v>1808</v>
      </c>
      <c r="D145" s="153" t="s">
        <v>1809</v>
      </c>
      <c r="E145" s="153" t="s">
        <v>1810</v>
      </c>
      <c r="F145" s="153" t="s">
        <v>1811</v>
      </c>
      <c r="G145" s="153"/>
      <c r="H145" s="153" t="s">
        <v>1812</v>
      </c>
      <c r="I145" s="153" t="s">
        <v>1175</v>
      </c>
      <c r="J145" s="153" t="s">
        <v>359</v>
      </c>
      <c r="K145" s="153">
        <v>20708</v>
      </c>
      <c r="L145" s="153" t="s">
        <v>1813</v>
      </c>
      <c r="M145" s="153"/>
      <c r="N145" s="153" t="s">
        <v>1089</v>
      </c>
      <c r="O145" s="153"/>
      <c r="P145" s="153"/>
      <c r="Q145" s="153"/>
      <c r="R145" s="153"/>
      <c r="S145" s="153"/>
      <c r="T145" s="153"/>
      <c r="U145" s="153"/>
      <c r="V145" s="153" t="s">
        <v>77</v>
      </c>
      <c r="W145" s="153"/>
      <c r="X145" s="153" t="s">
        <v>77</v>
      </c>
      <c r="Y145" s="153" t="s">
        <v>77</v>
      </c>
      <c r="Z145" s="153" t="s">
        <v>77</v>
      </c>
      <c r="AA145" s="153"/>
      <c r="AB145" s="153"/>
      <c r="AC145" s="153"/>
      <c r="AD145" s="153"/>
      <c r="AE145" s="153"/>
      <c r="AF145" s="153"/>
      <c r="AG145" s="153" t="s">
        <v>92</v>
      </c>
      <c r="AH145" s="153" t="s">
        <v>1814</v>
      </c>
      <c r="AI145" s="153" t="s">
        <v>1284</v>
      </c>
      <c r="AJ145" s="153" t="s">
        <v>1090</v>
      </c>
      <c r="AK145" s="153"/>
      <c r="AL145" s="153"/>
      <c r="AM145" s="153"/>
      <c r="AN145" s="153"/>
    </row>
    <row r="146" spans="1:40">
      <c r="A146" s="153">
        <v>12</v>
      </c>
      <c r="B146" s="153" t="s">
        <v>1059</v>
      </c>
      <c r="C146" s="153" t="s">
        <v>1815</v>
      </c>
      <c r="D146" s="153">
        <v>3016980905</v>
      </c>
      <c r="E146" s="153" t="s">
        <v>1816</v>
      </c>
      <c r="F146" s="153" t="s">
        <v>1817</v>
      </c>
      <c r="G146" s="153"/>
      <c r="H146" s="153" t="s">
        <v>1818</v>
      </c>
      <c r="I146" s="153" t="s">
        <v>1415</v>
      </c>
      <c r="J146" s="153" t="s">
        <v>359</v>
      </c>
      <c r="K146" s="153">
        <v>21703</v>
      </c>
      <c r="L146" s="153" t="s">
        <v>1067</v>
      </c>
      <c r="M146" s="153"/>
      <c r="N146" s="153" t="s">
        <v>1068</v>
      </c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</row>
    <row r="147" spans="1:40">
      <c r="A147" s="153">
        <v>211</v>
      </c>
      <c r="B147" s="153" t="s">
        <v>1059</v>
      </c>
      <c r="C147" s="153" t="s">
        <v>1819</v>
      </c>
      <c r="D147" s="153" t="s">
        <v>1820</v>
      </c>
      <c r="E147" s="153"/>
      <c r="F147" s="153"/>
      <c r="G147" s="153"/>
      <c r="H147" s="153" t="s">
        <v>1821</v>
      </c>
      <c r="I147" s="153" t="s">
        <v>1617</v>
      </c>
      <c r="J147" s="153" t="s">
        <v>359</v>
      </c>
      <c r="K147" s="153">
        <v>21045</v>
      </c>
      <c r="L147" s="153" t="s">
        <v>1067</v>
      </c>
      <c r="M147" s="153"/>
      <c r="N147" s="153" t="s">
        <v>1068</v>
      </c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</row>
    <row r="148" spans="1:40">
      <c r="A148" s="153">
        <v>224</v>
      </c>
      <c r="B148" s="153" t="s">
        <v>1059</v>
      </c>
      <c r="C148" s="153" t="s">
        <v>1822</v>
      </c>
      <c r="D148" s="153">
        <v>7035509888</v>
      </c>
      <c r="E148" s="153" t="s">
        <v>1823</v>
      </c>
      <c r="F148" s="153" t="s">
        <v>1824</v>
      </c>
      <c r="G148" s="153"/>
      <c r="H148" s="153" t="s">
        <v>1825</v>
      </c>
      <c r="I148" s="153" t="s">
        <v>1146</v>
      </c>
      <c r="J148" s="153" t="s">
        <v>916</v>
      </c>
      <c r="K148" s="153">
        <v>22153</v>
      </c>
      <c r="L148" s="153" t="s">
        <v>1826</v>
      </c>
      <c r="M148" s="153"/>
      <c r="N148" s="153" t="s">
        <v>1068</v>
      </c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/>
    </row>
    <row r="149" spans="1:40">
      <c r="A149" s="153">
        <v>115</v>
      </c>
      <c r="B149" s="153" t="s">
        <v>1059</v>
      </c>
      <c r="C149" s="153" t="s">
        <v>1827</v>
      </c>
      <c r="D149" s="153">
        <v>4105612000</v>
      </c>
      <c r="E149" s="153"/>
      <c r="F149" s="153"/>
      <c r="G149" s="153"/>
      <c r="H149" s="153" t="s">
        <v>1828</v>
      </c>
      <c r="I149" s="153" t="s">
        <v>1197</v>
      </c>
      <c r="J149" s="153" t="s">
        <v>359</v>
      </c>
      <c r="K149" s="153">
        <v>21031</v>
      </c>
      <c r="L149" s="153" t="s">
        <v>1067</v>
      </c>
      <c r="M149" s="153"/>
      <c r="N149" s="153" t="s">
        <v>1068</v>
      </c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</row>
    <row r="150" spans="1:40">
      <c r="A150" s="153">
        <v>326</v>
      </c>
      <c r="B150" s="153" t="s">
        <v>1059</v>
      </c>
      <c r="C150" s="153" t="s">
        <v>1829</v>
      </c>
      <c r="D150" s="153">
        <v>3019275284</v>
      </c>
      <c r="E150" s="153"/>
      <c r="F150" s="153"/>
      <c r="G150" s="153"/>
      <c r="H150" s="153" t="s">
        <v>1830</v>
      </c>
      <c r="I150" s="153" t="s">
        <v>1521</v>
      </c>
      <c r="J150" s="153" t="s">
        <v>359</v>
      </c>
      <c r="K150" s="153">
        <v>20781</v>
      </c>
      <c r="L150" s="153" t="s">
        <v>1067</v>
      </c>
      <c r="M150" s="153"/>
      <c r="N150" s="153" t="s">
        <v>1068</v>
      </c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3"/>
      <c r="AJ150" s="153"/>
      <c r="AK150" s="153"/>
      <c r="AL150" s="153"/>
      <c r="AM150" s="153"/>
      <c r="AN150" s="153"/>
    </row>
    <row r="151" spans="1:40">
      <c r="A151" s="153">
        <v>232</v>
      </c>
      <c r="B151" s="153" t="s">
        <v>1059</v>
      </c>
      <c r="C151" s="153" t="s">
        <v>1831</v>
      </c>
      <c r="D151" s="153"/>
      <c r="E151" s="153" t="s">
        <v>1832</v>
      </c>
      <c r="F151" s="153" t="s">
        <v>1833</v>
      </c>
      <c r="G151" s="153"/>
      <c r="H151" s="153" t="s">
        <v>1834</v>
      </c>
      <c r="I151" s="153" t="s">
        <v>1175</v>
      </c>
      <c r="J151" s="153" t="s">
        <v>359</v>
      </c>
      <c r="K151" s="153">
        <v>20708</v>
      </c>
      <c r="L151" s="153" t="s">
        <v>1835</v>
      </c>
      <c r="M151" s="153"/>
      <c r="N151" s="153" t="s">
        <v>1068</v>
      </c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</row>
    <row r="152" spans="1:40">
      <c r="A152" s="153">
        <v>394</v>
      </c>
      <c r="B152" s="153" t="s">
        <v>1059</v>
      </c>
      <c r="C152" s="153" t="s">
        <v>1836</v>
      </c>
      <c r="D152" s="153" t="s">
        <v>1837</v>
      </c>
      <c r="E152" s="153" t="s">
        <v>1139</v>
      </c>
      <c r="F152" s="153"/>
      <c r="G152" s="153"/>
      <c r="H152" s="153" t="s">
        <v>1838</v>
      </c>
      <c r="I152" s="153" t="s">
        <v>1262</v>
      </c>
      <c r="J152" s="153" t="s">
        <v>359</v>
      </c>
      <c r="K152" s="153">
        <v>20789</v>
      </c>
      <c r="L152" s="153" t="s">
        <v>1839</v>
      </c>
      <c r="M152" s="153"/>
      <c r="N152" s="153" t="s">
        <v>1068</v>
      </c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3"/>
      <c r="AJ152" s="153"/>
      <c r="AK152" s="153"/>
      <c r="AL152" s="153"/>
      <c r="AM152" s="153"/>
      <c r="AN152" s="153"/>
    </row>
    <row r="153" spans="1:40">
      <c r="A153" s="153">
        <v>353</v>
      </c>
      <c r="B153" s="153" t="s">
        <v>1059</v>
      </c>
      <c r="C153" s="153" t="s">
        <v>1840</v>
      </c>
      <c r="D153" s="153">
        <v>13017331066</v>
      </c>
      <c r="E153" s="153"/>
      <c r="F153" s="153"/>
      <c r="G153" s="153"/>
      <c r="H153" s="153" t="s">
        <v>1841</v>
      </c>
      <c r="I153" s="153" t="s">
        <v>1246</v>
      </c>
      <c r="J153" s="153" t="s">
        <v>359</v>
      </c>
      <c r="K153" s="153">
        <v>21742</v>
      </c>
      <c r="L153" s="153" t="s">
        <v>1067</v>
      </c>
      <c r="M153" s="153"/>
      <c r="N153" s="153" t="s">
        <v>1068</v>
      </c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</row>
    <row r="154" spans="1:40">
      <c r="A154" s="153">
        <v>95</v>
      </c>
      <c r="B154" s="153" t="s">
        <v>1059</v>
      </c>
      <c r="C154" s="153" t="s">
        <v>1842</v>
      </c>
      <c r="D154" s="153">
        <v>4106102533</v>
      </c>
      <c r="E154" s="153" t="s">
        <v>1843</v>
      </c>
      <c r="F154" s="153" t="s">
        <v>1844</v>
      </c>
      <c r="G154" s="153"/>
      <c r="H154" s="153" t="s">
        <v>1845</v>
      </c>
      <c r="I154" s="153" t="s">
        <v>1846</v>
      </c>
      <c r="J154" s="153" t="s">
        <v>359</v>
      </c>
      <c r="K154" s="153">
        <v>20678</v>
      </c>
      <c r="L154" s="153" t="s">
        <v>1847</v>
      </c>
      <c r="M154" s="153"/>
      <c r="N154" s="153" t="s">
        <v>1068</v>
      </c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</row>
    <row r="155" spans="1:40">
      <c r="A155" s="153">
        <v>208</v>
      </c>
      <c r="B155" s="153" t="s">
        <v>1059</v>
      </c>
      <c r="C155" s="153" t="s">
        <v>1848</v>
      </c>
      <c r="D155" s="153" t="s">
        <v>1849</v>
      </c>
      <c r="E155" s="153" t="s">
        <v>1850</v>
      </c>
      <c r="F155" s="153" t="s">
        <v>1851</v>
      </c>
      <c r="G155" s="153"/>
      <c r="H155" s="153" t="s">
        <v>1852</v>
      </c>
      <c r="I155" s="153" t="s">
        <v>1096</v>
      </c>
      <c r="J155" s="153" t="s">
        <v>172</v>
      </c>
      <c r="K155" s="153">
        <v>20017</v>
      </c>
      <c r="L155" s="153" t="s">
        <v>1853</v>
      </c>
      <c r="M155" s="153"/>
      <c r="N155" s="153" t="s">
        <v>1068</v>
      </c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3"/>
      <c r="AJ155" s="153"/>
      <c r="AK155" s="153"/>
      <c r="AL155" s="153"/>
      <c r="AM155" s="153"/>
      <c r="AN155" s="153"/>
    </row>
    <row r="156" spans="1:40">
      <c r="A156" s="153">
        <v>238</v>
      </c>
      <c r="B156" s="153" t="s">
        <v>1059</v>
      </c>
      <c r="C156" s="153" t="s">
        <v>1854</v>
      </c>
      <c r="D156" s="153">
        <v>3018405860</v>
      </c>
      <c r="E156" s="153" t="s">
        <v>1855</v>
      </c>
      <c r="F156" s="153" t="s">
        <v>1856</v>
      </c>
      <c r="G156" s="153"/>
      <c r="H156" s="153" t="s">
        <v>1857</v>
      </c>
      <c r="I156" s="153" t="s">
        <v>1262</v>
      </c>
      <c r="J156" s="153" t="s">
        <v>359</v>
      </c>
      <c r="K156" s="153">
        <v>20879</v>
      </c>
      <c r="L156" s="153" t="s">
        <v>1858</v>
      </c>
      <c r="M156" s="153"/>
      <c r="N156" s="153" t="s">
        <v>1068</v>
      </c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3"/>
      <c r="AJ156" s="153"/>
      <c r="AK156" s="153"/>
      <c r="AL156" s="153"/>
      <c r="AM156" s="153"/>
      <c r="AN156" s="153"/>
    </row>
    <row r="157" spans="1:40">
      <c r="A157" s="153">
        <v>277</v>
      </c>
      <c r="B157" s="153" t="s">
        <v>1059</v>
      </c>
      <c r="C157" s="153" t="s">
        <v>1859</v>
      </c>
      <c r="D157" s="153">
        <v>4104883990</v>
      </c>
      <c r="E157" s="153" t="s">
        <v>1860</v>
      </c>
      <c r="F157" s="153" t="s">
        <v>1861</v>
      </c>
      <c r="G157" s="153"/>
      <c r="H157" s="153" t="s">
        <v>1862</v>
      </c>
      <c r="I157" s="153" t="s">
        <v>1469</v>
      </c>
      <c r="J157" s="153" t="s">
        <v>359</v>
      </c>
      <c r="K157" s="153">
        <v>21031</v>
      </c>
      <c r="L157" s="153" t="s">
        <v>1863</v>
      </c>
      <c r="M157" s="153"/>
      <c r="N157" s="153" t="s">
        <v>1068</v>
      </c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153"/>
      <c r="AL157" s="153"/>
      <c r="AM157" s="153"/>
      <c r="AN157" s="153"/>
    </row>
    <row r="158" spans="1:40">
      <c r="A158" s="153">
        <v>240</v>
      </c>
      <c r="B158" s="153" t="s">
        <v>1059</v>
      </c>
      <c r="C158" s="153" t="s">
        <v>1864</v>
      </c>
      <c r="D158" s="153">
        <v>4103274750</v>
      </c>
      <c r="E158" s="153" t="s">
        <v>1865</v>
      </c>
      <c r="F158" s="153" t="s">
        <v>1866</v>
      </c>
      <c r="G158" s="153"/>
      <c r="H158" s="153" t="s">
        <v>1867</v>
      </c>
      <c r="I158" s="153" t="s">
        <v>1074</v>
      </c>
      <c r="J158" s="153" t="s">
        <v>359</v>
      </c>
      <c r="K158" s="153">
        <v>21224</v>
      </c>
      <c r="L158" s="153" t="s">
        <v>1868</v>
      </c>
      <c r="M158" s="153"/>
      <c r="N158" s="153" t="s">
        <v>1068</v>
      </c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  <c r="AC158" s="153"/>
      <c r="AD158" s="153"/>
      <c r="AE158" s="153"/>
      <c r="AF158" s="153"/>
      <c r="AG158" s="153"/>
      <c r="AH158" s="153"/>
      <c r="AI158" s="153"/>
      <c r="AJ158" s="153"/>
      <c r="AK158" s="153"/>
      <c r="AL158" s="153"/>
      <c r="AM158" s="153"/>
      <c r="AN158" s="153"/>
    </row>
    <row r="159" spans="1:40">
      <c r="A159" s="153">
        <v>106</v>
      </c>
      <c r="B159" s="153" t="s">
        <v>1059</v>
      </c>
      <c r="C159" s="153" t="s">
        <v>1869</v>
      </c>
      <c r="D159" s="153">
        <v>4107810390</v>
      </c>
      <c r="E159" s="153" t="s">
        <v>1870</v>
      </c>
      <c r="F159" s="153" t="s">
        <v>1871</v>
      </c>
      <c r="G159" s="153"/>
      <c r="H159" s="153" t="s">
        <v>1872</v>
      </c>
      <c r="I159" s="153" t="s">
        <v>1375</v>
      </c>
      <c r="J159" s="153" t="s">
        <v>359</v>
      </c>
      <c r="K159" s="153">
        <v>21784</v>
      </c>
      <c r="L159" s="153" t="s">
        <v>1873</v>
      </c>
      <c r="M159" s="153"/>
      <c r="N159" s="153" t="s">
        <v>1068</v>
      </c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  <c r="AC159" s="153"/>
      <c r="AD159" s="153"/>
      <c r="AE159" s="153"/>
      <c r="AF159" s="153"/>
      <c r="AG159" s="153"/>
      <c r="AH159" s="153"/>
      <c r="AI159" s="153"/>
      <c r="AJ159" s="153"/>
      <c r="AK159" s="153"/>
      <c r="AL159" s="153"/>
      <c r="AM159" s="153"/>
      <c r="AN159" s="153"/>
    </row>
    <row r="160" spans="1:40">
      <c r="A160" s="153">
        <v>30</v>
      </c>
      <c r="B160" s="153" t="s">
        <v>1059</v>
      </c>
      <c r="C160" s="153" t="s">
        <v>1874</v>
      </c>
      <c r="D160" s="153">
        <v>2029995533</v>
      </c>
      <c r="E160" s="153" t="s">
        <v>1875</v>
      </c>
      <c r="F160" s="153" t="s">
        <v>1876</v>
      </c>
      <c r="G160" s="153"/>
      <c r="H160" s="153" t="s">
        <v>1877</v>
      </c>
      <c r="I160" s="153" t="s">
        <v>1096</v>
      </c>
      <c r="J160" s="153" t="s">
        <v>172</v>
      </c>
      <c r="K160" s="153">
        <v>20007</v>
      </c>
      <c r="L160" s="153" t="s">
        <v>1878</v>
      </c>
      <c r="M160" s="153"/>
      <c r="N160" s="153" t="s">
        <v>1068</v>
      </c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3"/>
      <c r="AJ160" s="153"/>
      <c r="AK160" s="153"/>
      <c r="AL160" s="153"/>
      <c r="AM160" s="153"/>
      <c r="AN160" s="153"/>
    </row>
    <row r="161" spans="1:40">
      <c r="A161" s="153">
        <v>217</v>
      </c>
      <c r="B161" s="153" t="s">
        <v>1059</v>
      </c>
      <c r="C161" s="153" t="s">
        <v>1879</v>
      </c>
      <c r="D161" s="153" t="s">
        <v>1880</v>
      </c>
      <c r="E161" s="153"/>
      <c r="F161" s="153"/>
      <c r="G161" s="153"/>
      <c r="H161" s="153" t="s">
        <v>1881</v>
      </c>
      <c r="I161" s="153" t="s">
        <v>1882</v>
      </c>
      <c r="J161" s="153" t="s">
        <v>1883</v>
      </c>
      <c r="K161" s="153">
        <v>44128</v>
      </c>
      <c r="L161" s="153" t="s">
        <v>1067</v>
      </c>
      <c r="M161" s="153"/>
      <c r="N161" s="153" t="s">
        <v>1068</v>
      </c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3"/>
      <c r="AJ161" s="153"/>
      <c r="AK161" s="153"/>
      <c r="AL161" s="153"/>
      <c r="AM161" s="153"/>
      <c r="AN161" s="153"/>
    </row>
    <row r="162" spans="1:40">
      <c r="A162" s="153">
        <v>148</v>
      </c>
      <c r="B162" s="153" t="s">
        <v>1059</v>
      </c>
      <c r="C162" s="153" t="s">
        <v>1884</v>
      </c>
      <c r="D162" s="153" t="s">
        <v>1885</v>
      </c>
      <c r="E162" s="153" t="s">
        <v>1886</v>
      </c>
      <c r="F162" s="153" t="s">
        <v>1887</v>
      </c>
      <c r="G162" s="153"/>
      <c r="H162" s="153" t="s">
        <v>1888</v>
      </c>
      <c r="I162" s="153" t="s">
        <v>1484</v>
      </c>
      <c r="J162" s="153" t="s">
        <v>359</v>
      </c>
      <c r="K162" s="153">
        <v>20794</v>
      </c>
      <c r="L162" s="153" t="s">
        <v>1889</v>
      </c>
      <c r="M162" s="153"/>
      <c r="N162" s="153" t="s">
        <v>1068</v>
      </c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  <c r="AK162" s="153"/>
      <c r="AL162" s="153"/>
      <c r="AM162" s="153"/>
      <c r="AN162" s="153"/>
    </row>
    <row r="163" spans="1:40">
      <c r="A163" s="153">
        <v>372</v>
      </c>
      <c r="B163" s="153" t="s">
        <v>1059</v>
      </c>
      <c r="C163" s="153" t="s">
        <v>1890</v>
      </c>
      <c r="D163" s="153">
        <v>3018779600</v>
      </c>
      <c r="E163" s="153" t="s">
        <v>1139</v>
      </c>
      <c r="F163" s="153"/>
      <c r="G163" s="153"/>
      <c r="H163" s="153" t="s">
        <v>1891</v>
      </c>
      <c r="I163" s="153" t="s">
        <v>1692</v>
      </c>
      <c r="J163" s="153" t="s">
        <v>359</v>
      </c>
      <c r="K163" s="153">
        <v>20735</v>
      </c>
      <c r="L163" s="153" t="s">
        <v>1892</v>
      </c>
      <c r="M163" s="153"/>
      <c r="N163" s="153" t="s">
        <v>1068</v>
      </c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  <c r="AK163" s="153"/>
      <c r="AL163" s="153"/>
      <c r="AM163" s="153"/>
      <c r="AN163" s="153"/>
    </row>
    <row r="164" spans="1:40">
      <c r="A164" s="153">
        <v>267</v>
      </c>
      <c r="B164" s="153" t="s">
        <v>1059</v>
      </c>
      <c r="C164" s="153" t="s">
        <v>1893</v>
      </c>
      <c r="D164" s="153">
        <v>4432001000</v>
      </c>
      <c r="E164" s="153"/>
      <c r="F164" s="153"/>
      <c r="G164" s="153"/>
      <c r="H164" s="153" t="s">
        <v>1894</v>
      </c>
      <c r="I164" s="153" t="s">
        <v>1225</v>
      </c>
      <c r="J164" s="153" t="s">
        <v>359</v>
      </c>
      <c r="K164" s="153">
        <v>21228</v>
      </c>
      <c r="L164" s="153" t="s">
        <v>1067</v>
      </c>
      <c r="M164" s="153"/>
      <c r="N164" s="153" t="s">
        <v>1068</v>
      </c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  <c r="AK164" s="153"/>
      <c r="AL164" s="153"/>
      <c r="AM164" s="153"/>
      <c r="AN164" s="153"/>
    </row>
    <row r="165" spans="1:40">
      <c r="A165" s="153">
        <v>332</v>
      </c>
      <c r="B165" s="153" t="s">
        <v>1059</v>
      </c>
      <c r="C165" s="153" t="s">
        <v>1895</v>
      </c>
      <c r="D165" s="153" t="s">
        <v>1896</v>
      </c>
      <c r="E165" s="153"/>
      <c r="F165" s="153"/>
      <c r="G165" s="153"/>
      <c r="H165" s="153" t="s">
        <v>1897</v>
      </c>
      <c r="I165" s="153" t="s">
        <v>1846</v>
      </c>
      <c r="J165" s="153" t="s">
        <v>359</v>
      </c>
      <c r="K165" s="153">
        <v>20678</v>
      </c>
      <c r="L165" s="153" t="s">
        <v>1067</v>
      </c>
      <c r="M165" s="153"/>
      <c r="N165" s="153" t="s">
        <v>1068</v>
      </c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153"/>
      <c r="AK165" s="153"/>
      <c r="AL165" s="153"/>
      <c r="AM165" s="153"/>
      <c r="AN165" s="153"/>
    </row>
    <row r="166" spans="1:40">
      <c r="A166" s="153">
        <v>254</v>
      </c>
      <c r="B166" s="153" t="s">
        <v>1059</v>
      </c>
      <c r="C166" s="153" t="s">
        <v>1898</v>
      </c>
      <c r="D166" s="153">
        <v>3012712488</v>
      </c>
      <c r="E166" s="153" t="s">
        <v>1899</v>
      </c>
      <c r="F166" s="153" t="s">
        <v>1900</v>
      </c>
      <c r="G166" s="153"/>
      <c r="H166" s="153" t="s">
        <v>1901</v>
      </c>
      <c r="I166" s="153" t="s">
        <v>1902</v>
      </c>
      <c r="J166" s="153" t="s">
        <v>359</v>
      </c>
      <c r="K166" s="153">
        <v>21788</v>
      </c>
      <c r="L166" s="153" t="s">
        <v>1903</v>
      </c>
      <c r="M166" s="153"/>
      <c r="N166" s="153" t="s">
        <v>1068</v>
      </c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3"/>
      <c r="AJ166" s="153"/>
      <c r="AK166" s="153"/>
      <c r="AL166" s="153"/>
      <c r="AM166" s="153"/>
      <c r="AN166" s="153"/>
    </row>
    <row r="167" spans="1:40">
      <c r="A167" s="153">
        <v>155</v>
      </c>
      <c r="B167" s="153" t="s">
        <v>1059</v>
      </c>
      <c r="C167" s="153" t="s">
        <v>1904</v>
      </c>
      <c r="D167" s="153" t="s">
        <v>1905</v>
      </c>
      <c r="E167" s="153" t="s">
        <v>1139</v>
      </c>
      <c r="F167" s="153"/>
      <c r="G167" s="153"/>
      <c r="H167" s="153" t="s">
        <v>1906</v>
      </c>
      <c r="I167" s="153" t="s">
        <v>1907</v>
      </c>
      <c r="J167" s="153" t="s">
        <v>359</v>
      </c>
      <c r="K167" s="153">
        <v>21221</v>
      </c>
      <c r="L167" s="153" t="s">
        <v>1067</v>
      </c>
      <c r="M167" s="153"/>
      <c r="N167" s="153" t="s">
        <v>1068</v>
      </c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  <c r="AD167" s="153"/>
      <c r="AE167" s="153"/>
      <c r="AF167" s="153"/>
      <c r="AG167" s="153"/>
      <c r="AH167" s="153"/>
      <c r="AI167" s="153"/>
      <c r="AJ167" s="153"/>
      <c r="AK167" s="153"/>
      <c r="AL167" s="153"/>
      <c r="AM167" s="153"/>
      <c r="AN167" s="153"/>
    </row>
    <row r="168" spans="1:40">
      <c r="A168" s="153">
        <v>348</v>
      </c>
      <c r="B168" s="153" t="s">
        <v>1059</v>
      </c>
      <c r="C168" s="153" t="s">
        <v>1908</v>
      </c>
      <c r="D168" s="153">
        <v>4342938669</v>
      </c>
      <c r="E168" s="153" t="s">
        <v>1909</v>
      </c>
      <c r="F168" s="153" t="s">
        <v>1910</v>
      </c>
      <c r="G168" s="153"/>
      <c r="H168" s="153" t="s">
        <v>1911</v>
      </c>
      <c r="I168" s="153" t="s">
        <v>1912</v>
      </c>
      <c r="J168" s="153" t="s">
        <v>916</v>
      </c>
      <c r="K168" s="153">
        <v>22902</v>
      </c>
      <c r="L168" s="153" t="s">
        <v>1067</v>
      </c>
      <c r="M168" s="153"/>
      <c r="N168" s="153" t="s">
        <v>1068</v>
      </c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3"/>
      <c r="AN168" s="153"/>
    </row>
    <row r="169" spans="1:40">
      <c r="A169" s="153">
        <v>187</v>
      </c>
      <c r="B169" s="153" t="s">
        <v>1059</v>
      </c>
      <c r="C169" s="153" t="s">
        <v>1913</v>
      </c>
      <c r="D169" s="153" t="s">
        <v>1914</v>
      </c>
      <c r="E169" s="153" t="s">
        <v>1915</v>
      </c>
      <c r="F169" s="153" t="s">
        <v>1916</v>
      </c>
      <c r="G169" s="153"/>
      <c r="H169" s="153"/>
      <c r="I169" s="153"/>
      <c r="J169" s="153"/>
      <c r="K169" s="153"/>
      <c r="L169" s="153" t="s">
        <v>1917</v>
      </c>
      <c r="M169" s="153"/>
      <c r="N169" s="153" t="s">
        <v>1068</v>
      </c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</row>
    <row r="170" spans="1:40">
      <c r="A170" s="153">
        <v>316</v>
      </c>
      <c r="B170" s="153" t="s">
        <v>1059</v>
      </c>
      <c r="C170" s="153" t="s">
        <v>1918</v>
      </c>
      <c r="D170" s="153">
        <v>2673820267</v>
      </c>
      <c r="E170" s="153" t="s">
        <v>1919</v>
      </c>
      <c r="F170" s="153" t="s">
        <v>1920</v>
      </c>
      <c r="G170" s="153"/>
      <c r="H170" s="153" t="s">
        <v>1921</v>
      </c>
      <c r="I170" s="153" t="s">
        <v>1922</v>
      </c>
      <c r="J170" s="153" t="s">
        <v>932</v>
      </c>
      <c r="K170" s="153">
        <v>18969</v>
      </c>
      <c r="L170" s="153" t="s">
        <v>1067</v>
      </c>
      <c r="M170" s="153"/>
      <c r="N170" s="153" t="s">
        <v>1068</v>
      </c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  <c r="AD170" s="153"/>
      <c r="AE170" s="153"/>
      <c r="AF170" s="153"/>
      <c r="AG170" s="153"/>
      <c r="AH170" s="153"/>
      <c r="AI170" s="153"/>
      <c r="AJ170" s="153"/>
      <c r="AK170" s="153"/>
      <c r="AL170" s="153"/>
      <c r="AM170" s="153"/>
      <c r="AN170" s="153"/>
    </row>
    <row r="171" spans="1:40">
      <c r="A171" s="153">
        <v>258</v>
      </c>
      <c r="B171" s="153" t="s">
        <v>1059</v>
      </c>
      <c r="C171" s="153" t="s">
        <v>1923</v>
      </c>
      <c r="D171" s="153">
        <v>3016706300</v>
      </c>
      <c r="E171" s="153" t="s">
        <v>1924</v>
      </c>
      <c r="F171" s="153" t="s">
        <v>1925</v>
      </c>
      <c r="G171" s="153"/>
      <c r="H171" s="153" t="s">
        <v>1926</v>
      </c>
      <c r="I171" s="153" t="s">
        <v>1262</v>
      </c>
      <c r="J171" s="153" t="s">
        <v>359</v>
      </c>
      <c r="K171" s="153">
        <v>20877</v>
      </c>
      <c r="L171" s="153" t="s">
        <v>1067</v>
      </c>
      <c r="M171" s="153"/>
      <c r="N171" s="153" t="s">
        <v>1068</v>
      </c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3"/>
      <c r="AN171" s="153"/>
    </row>
    <row r="172" spans="1:40">
      <c r="A172" s="153">
        <v>329</v>
      </c>
      <c r="B172" s="153" t="s">
        <v>1059</v>
      </c>
      <c r="C172" s="153" t="s">
        <v>1927</v>
      </c>
      <c r="D172" s="153"/>
      <c r="E172" s="153" t="s">
        <v>1928</v>
      </c>
      <c r="F172" s="153" t="s">
        <v>1929</v>
      </c>
      <c r="G172" s="153"/>
      <c r="H172" s="153" t="s">
        <v>1930</v>
      </c>
      <c r="I172" s="153" t="s">
        <v>1931</v>
      </c>
      <c r="J172" s="153" t="s">
        <v>1441</v>
      </c>
      <c r="K172" s="153">
        <v>60047</v>
      </c>
      <c r="L172" s="153" t="s">
        <v>1067</v>
      </c>
      <c r="M172" s="153"/>
      <c r="N172" s="153" t="s">
        <v>1068</v>
      </c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</row>
    <row r="173" spans="1:40">
      <c r="A173" s="153">
        <v>203</v>
      </c>
      <c r="B173" s="153" t="s">
        <v>1059</v>
      </c>
      <c r="C173" s="153" t="s">
        <v>1932</v>
      </c>
      <c r="D173" s="153"/>
      <c r="E173" s="153"/>
      <c r="F173" s="153"/>
      <c r="G173" s="153"/>
      <c r="H173" s="153" t="s">
        <v>1933</v>
      </c>
      <c r="I173" s="153" t="s">
        <v>1934</v>
      </c>
      <c r="J173" s="153" t="s">
        <v>359</v>
      </c>
      <c r="K173" s="153">
        <v>21234</v>
      </c>
      <c r="L173" s="153" t="s">
        <v>1067</v>
      </c>
      <c r="M173" s="153"/>
      <c r="N173" s="153" t="s">
        <v>1068</v>
      </c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</row>
    <row r="174" spans="1:40">
      <c r="A174" s="153">
        <v>22</v>
      </c>
      <c r="B174" s="153" t="s">
        <v>1059</v>
      </c>
      <c r="C174" s="153" t="s">
        <v>1935</v>
      </c>
      <c r="D174" s="153">
        <v>3014992202</v>
      </c>
      <c r="E174" s="153" t="s">
        <v>1936</v>
      </c>
      <c r="F174" s="153" t="s">
        <v>1937</v>
      </c>
      <c r="G174" s="153"/>
      <c r="H174" s="153" t="s">
        <v>1938</v>
      </c>
      <c r="I174" s="153" t="s">
        <v>1939</v>
      </c>
      <c r="J174" s="153" t="s">
        <v>359</v>
      </c>
      <c r="K174" s="153">
        <v>20785</v>
      </c>
      <c r="L174" s="153" t="s">
        <v>1940</v>
      </c>
      <c r="M174" s="153"/>
      <c r="N174" s="153" t="s">
        <v>1068</v>
      </c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</row>
    <row r="175" spans="1:40">
      <c r="A175" s="153">
        <v>274</v>
      </c>
      <c r="B175" s="153" t="s">
        <v>1059</v>
      </c>
      <c r="C175" s="153" t="s">
        <v>1941</v>
      </c>
      <c r="D175" s="153">
        <v>7032552100</v>
      </c>
      <c r="E175" s="153" t="s">
        <v>1942</v>
      </c>
      <c r="F175" s="153" t="s">
        <v>1943</v>
      </c>
      <c r="G175" s="153"/>
      <c r="H175" s="153" t="s">
        <v>1944</v>
      </c>
      <c r="I175" s="153" t="s">
        <v>1945</v>
      </c>
      <c r="J175" s="153" t="s">
        <v>916</v>
      </c>
      <c r="K175" s="153">
        <v>22180</v>
      </c>
      <c r="L175" s="153" t="s">
        <v>1946</v>
      </c>
      <c r="M175" s="153"/>
      <c r="N175" s="153" t="s">
        <v>1068</v>
      </c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/>
    </row>
    <row r="176" spans="1:40">
      <c r="A176" s="153">
        <v>275</v>
      </c>
      <c r="B176" s="153" t="s">
        <v>1059</v>
      </c>
      <c r="C176" s="153" t="s">
        <v>1947</v>
      </c>
      <c r="D176" s="153">
        <v>7033691750</v>
      </c>
      <c r="E176" s="153" t="s">
        <v>1948</v>
      </c>
      <c r="F176" s="153" t="s">
        <v>1949</v>
      </c>
      <c r="G176" s="153"/>
      <c r="H176" s="153" t="s">
        <v>1950</v>
      </c>
      <c r="I176" s="153" t="s">
        <v>1101</v>
      </c>
      <c r="J176" s="153" t="s">
        <v>916</v>
      </c>
      <c r="K176" s="153">
        <v>20109</v>
      </c>
      <c r="L176" s="153" t="s">
        <v>1951</v>
      </c>
      <c r="M176" s="153"/>
      <c r="N176" s="153" t="s">
        <v>1068</v>
      </c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</row>
    <row r="177" spans="1:40">
      <c r="A177" s="153">
        <v>277</v>
      </c>
      <c r="B177" s="153" t="s">
        <v>1059</v>
      </c>
      <c r="C177" s="153" t="s">
        <v>1952</v>
      </c>
      <c r="D177" s="153">
        <v>4107663831</v>
      </c>
      <c r="E177" s="153" t="s">
        <v>1953</v>
      </c>
      <c r="F177" s="153" t="s">
        <v>1954</v>
      </c>
      <c r="G177" s="153"/>
      <c r="H177" s="153" t="s">
        <v>1955</v>
      </c>
      <c r="I177" s="153" t="s">
        <v>1956</v>
      </c>
      <c r="J177" s="153" t="s">
        <v>359</v>
      </c>
      <c r="K177" s="153">
        <v>21076</v>
      </c>
      <c r="L177" s="153" t="s">
        <v>1067</v>
      </c>
      <c r="M177" s="153"/>
      <c r="N177" s="153" t="s">
        <v>1068</v>
      </c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/>
    </row>
    <row r="178" spans="1:40">
      <c r="A178" s="153">
        <v>280</v>
      </c>
      <c r="B178" s="153" t="s">
        <v>1059</v>
      </c>
      <c r="C178" s="153" t="s">
        <v>1957</v>
      </c>
      <c r="D178" s="153">
        <v>4433052004</v>
      </c>
      <c r="E178" s="153" t="s">
        <v>1958</v>
      </c>
      <c r="F178" s="153" t="s">
        <v>1959</v>
      </c>
      <c r="G178" s="153"/>
      <c r="H178" s="153" t="s">
        <v>1960</v>
      </c>
      <c r="I178" s="153"/>
      <c r="J178" s="153" t="s">
        <v>359</v>
      </c>
      <c r="K178" s="153">
        <v>21226</v>
      </c>
      <c r="L178" s="153" t="s">
        <v>1961</v>
      </c>
      <c r="M178" s="153"/>
      <c r="N178" s="153" t="s">
        <v>1068</v>
      </c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</row>
    <row r="179" spans="1:40">
      <c r="A179" s="153">
        <v>179</v>
      </c>
      <c r="B179" s="153" t="s">
        <v>1059</v>
      </c>
      <c r="C179" s="153" t="s">
        <v>1962</v>
      </c>
      <c r="D179" s="153">
        <v>7704605155</v>
      </c>
      <c r="E179" s="153" t="s">
        <v>1963</v>
      </c>
      <c r="F179" s="153" t="s">
        <v>1964</v>
      </c>
      <c r="G179" s="153"/>
      <c r="H179" s="153" t="s">
        <v>1965</v>
      </c>
      <c r="I179" s="153" t="s">
        <v>1966</v>
      </c>
      <c r="J179" s="153" t="s">
        <v>1967</v>
      </c>
      <c r="K179" s="153">
        <v>30214</v>
      </c>
      <c r="L179" s="153" t="s">
        <v>1968</v>
      </c>
      <c r="M179" s="153"/>
      <c r="N179" s="153" t="s">
        <v>1068</v>
      </c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</row>
    <row r="180" spans="1:40">
      <c r="A180" s="153">
        <v>205</v>
      </c>
      <c r="B180" s="153" t="s">
        <v>1059</v>
      </c>
      <c r="C180" s="153" t="s">
        <v>1969</v>
      </c>
      <c r="D180" s="153">
        <v>4105409245</v>
      </c>
      <c r="E180" s="153" t="s">
        <v>1970</v>
      </c>
      <c r="F180" s="153" t="s">
        <v>1971</v>
      </c>
      <c r="G180" s="153"/>
      <c r="H180" s="153" t="s">
        <v>1972</v>
      </c>
      <c r="I180" s="153" t="s">
        <v>1973</v>
      </c>
      <c r="J180" s="153" t="s">
        <v>359</v>
      </c>
      <c r="K180" s="153">
        <v>20701</v>
      </c>
      <c r="L180" s="153" t="s">
        <v>1067</v>
      </c>
      <c r="M180" s="153"/>
      <c r="N180" s="153" t="s">
        <v>1068</v>
      </c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3"/>
      <c r="AN180" s="153"/>
    </row>
    <row r="181" spans="1:40">
      <c r="A181" s="153">
        <v>297</v>
      </c>
      <c r="B181" s="153" t="s">
        <v>1059</v>
      </c>
      <c r="C181" s="153" t="s">
        <v>1974</v>
      </c>
      <c r="D181" s="153">
        <v>4105260966</v>
      </c>
      <c r="E181" s="153" t="s">
        <v>1975</v>
      </c>
      <c r="F181" s="153" t="s">
        <v>1976</v>
      </c>
      <c r="G181" s="153"/>
      <c r="H181" s="153"/>
      <c r="I181" s="153"/>
      <c r="J181" s="153"/>
      <c r="K181" s="153"/>
      <c r="L181" s="153" t="s">
        <v>1977</v>
      </c>
      <c r="M181" s="153"/>
      <c r="N181" s="153" t="s">
        <v>1068</v>
      </c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</row>
    <row r="182" spans="1:40">
      <c r="A182" s="153">
        <v>411</v>
      </c>
      <c r="B182" s="153" t="s">
        <v>1059</v>
      </c>
      <c r="C182" s="153" t="s">
        <v>1978</v>
      </c>
      <c r="D182" s="153">
        <v>4107374700</v>
      </c>
      <c r="E182" s="153" t="s">
        <v>1979</v>
      </c>
      <c r="F182" s="153" t="s">
        <v>1980</v>
      </c>
      <c r="G182" s="153"/>
      <c r="H182" s="153" t="s">
        <v>1981</v>
      </c>
      <c r="I182" s="153" t="s">
        <v>1982</v>
      </c>
      <c r="J182" s="153" t="s">
        <v>359</v>
      </c>
      <c r="K182" s="153">
        <v>21227</v>
      </c>
      <c r="L182" s="153" t="s">
        <v>1983</v>
      </c>
      <c r="M182" s="153"/>
      <c r="N182" s="153" t="s">
        <v>1068</v>
      </c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</row>
    <row r="183" spans="1:40">
      <c r="A183" s="153">
        <v>388</v>
      </c>
      <c r="B183" s="153" t="s">
        <v>1059</v>
      </c>
      <c r="C183" s="153" t="s">
        <v>1984</v>
      </c>
      <c r="D183" s="153" t="s">
        <v>1985</v>
      </c>
      <c r="E183" s="153"/>
      <c r="F183" s="153"/>
      <c r="G183" s="153"/>
      <c r="H183" s="153" t="s">
        <v>1986</v>
      </c>
      <c r="I183" s="153" t="s">
        <v>1987</v>
      </c>
      <c r="J183" s="153" t="s">
        <v>359</v>
      </c>
      <c r="K183" s="153">
        <v>21035</v>
      </c>
      <c r="L183" s="153" t="s">
        <v>1067</v>
      </c>
      <c r="M183" s="153"/>
      <c r="N183" s="153" t="s">
        <v>1068</v>
      </c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</row>
    <row r="184" spans="1:40">
      <c r="A184" s="153">
        <v>200</v>
      </c>
      <c r="B184" s="153" t="s">
        <v>1059</v>
      </c>
      <c r="C184" s="153" t="s">
        <v>1988</v>
      </c>
      <c r="D184" s="153"/>
      <c r="E184" s="153" t="s">
        <v>1139</v>
      </c>
      <c r="F184" s="153"/>
      <c r="G184" s="153"/>
      <c r="H184" s="153" t="s">
        <v>1989</v>
      </c>
      <c r="I184" s="153" t="s">
        <v>1262</v>
      </c>
      <c r="J184" s="153" t="s">
        <v>359</v>
      </c>
      <c r="K184" s="153">
        <v>20879</v>
      </c>
      <c r="L184" s="153" t="s">
        <v>1990</v>
      </c>
      <c r="M184" s="153"/>
      <c r="N184" s="153" t="s">
        <v>1068</v>
      </c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3"/>
      <c r="AN184" s="153"/>
    </row>
    <row r="185" spans="1:40">
      <c r="A185" s="153">
        <v>128</v>
      </c>
      <c r="B185" s="153" t="s">
        <v>1059</v>
      </c>
      <c r="C185" s="153" t="s">
        <v>1991</v>
      </c>
      <c r="D185" s="153"/>
      <c r="E185" s="153"/>
      <c r="F185" s="153"/>
      <c r="G185" s="153"/>
      <c r="H185" s="153"/>
      <c r="I185" s="153" t="s">
        <v>1452</v>
      </c>
      <c r="J185" s="153" t="s">
        <v>359</v>
      </c>
      <c r="K185" s="153">
        <v>20659</v>
      </c>
      <c r="L185" s="153" t="s">
        <v>1067</v>
      </c>
      <c r="M185" s="153"/>
      <c r="N185" s="153" t="s">
        <v>1068</v>
      </c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</row>
    <row r="186" spans="1:40">
      <c r="A186" s="153">
        <v>340</v>
      </c>
      <c r="B186" s="153" t="s">
        <v>1059</v>
      </c>
      <c r="C186" s="153" t="s">
        <v>1992</v>
      </c>
      <c r="D186" s="153">
        <v>7038329111</v>
      </c>
      <c r="E186" s="153" t="s">
        <v>1993</v>
      </c>
      <c r="F186" s="153" t="s">
        <v>1994</v>
      </c>
      <c r="G186" s="153"/>
      <c r="H186" s="153" t="s">
        <v>1995</v>
      </c>
      <c r="I186" s="153" t="s">
        <v>1101</v>
      </c>
      <c r="J186" s="153" t="s">
        <v>916</v>
      </c>
      <c r="K186" s="153">
        <v>20109</v>
      </c>
      <c r="L186" s="153" t="s">
        <v>1996</v>
      </c>
      <c r="M186" s="153"/>
      <c r="N186" s="153" t="s">
        <v>1068</v>
      </c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  <c r="AK186" s="153"/>
      <c r="AL186" s="153"/>
      <c r="AM186" s="153"/>
      <c r="AN186" s="153"/>
    </row>
    <row r="187" spans="1:40">
      <c r="A187" s="153">
        <v>155</v>
      </c>
      <c r="B187" s="153" t="s">
        <v>1059</v>
      </c>
      <c r="C187" s="153" t="s">
        <v>1997</v>
      </c>
      <c r="D187" s="153" t="s">
        <v>1998</v>
      </c>
      <c r="E187" s="153" t="s">
        <v>1999</v>
      </c>
      <c r="F187" s="153" t="s">
        <v>2000</v>
      </c>
      <c r="G187" s="153"/>
      <c r="H187" s="153" t="s">
        <v>2001</v>
      </c>
      <c r="I187" s="153" t="s">
        <v>1175</v>
      </c>
      <c r="J187" s="153" t="s">
        <v>359</v>
      </c>
      <c r="K187" s="153">
        <v>20707</v>
      </c>
      <c r="L187" s="153" t="s">
        <v>1067</v>
      </c>
      <c r="M187" s="153"/>
      <c r="N187" s="153" t="s">
        <v>1068</v>
      </c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  <c r="AK187" s="153"/>
      <c r="AL187" s="153"/>
      <c r="AM187" s="153"/>
      <c r="AN187" s="153"/>
    </row>
    <row r="188" spans="1:40">
      <c r="A188" s="153">
        <v>285</v>
      </c>
      <c r="B188" s="153" t="s">
        <v>1059</v>
      </c>
      <c r="C188" s="153" t="s">
        <v>2002</v>
      </c>
      <c r="D188" s="153">
        <v>2025440044</v>
      </c>
      <c r="E188" s="153" t="s">
        <v>2003</v>
      </c>
      <c r="F188" s="153"/>
      <c r="G188" s="153"/>
      <c r="H188" s="153" t="s">
        <v>2004</v>
      </c>
      <c r="I188" s="153" t="s">
        <v>1096</v>
      </c>
      <c r="J188" s="153" t="s">
        <v>172</v>
      </c>
      <c r="K188" s="153">
        <v>20004</v>
      </c>
      <c r="L188" s="153" t="s">
        <v>2005</v>
      </c>
      <c r="M188" s="153"/>
      <c r="N188" s="153" t="s">
        <v>1068</v>
      </c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  <c r="AK188" s="153"/>
      <c r="AL188" s="153"/>
      <c r="AM188" s="153"/>
      <c r="AN188" s="153"/>
    </row>
    <row r="189" spans="1:40">
      <c r="A189" s="153">
        <v>108</v>
      </c>
      <c r="B189" s="153" t="s">
        <v>1059</v>
      </c>
      <c r="C189" s="153" t="s">
        <v>2006</v>
      </c>
      <c r="D189" s="153">
        <v>4108772785</v>
      </c>
      <c r="E189" s="153" t="s">
        <v>2007</v>
      </c>
      <c r="F189" s="153"/>
      <c r="G189" s="153"/>
      <c r="H189" s="153" t="s">
        <v>2008</v>
      </c>
      <c r="I189" s="153" t="s">
        <v>2009</v>
      </c>
      <c r="J189" s="153" t="s">
        <v>359</v>
      </c>
      <c r="K189" s="153">
        <v>21085</v>
      </c>
      <c r="L189" s="153" t="s">
        <v>2010</v>
      </c>
      <c r="M189" s="153"/>
      <c r="N189" s="153" t="s">
        <v>1068</v>
      </c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3"/>
      <c r="AN189" s="153"/>
    </row>
    <row r="190" spans="1:40">
      <c r="A190" s="153">
        <v>251</v>
      </c>
      <c r="B190" s="153" t="s">
        <v>1059</v>
      </c>
      <c r="C190" s="153" t="s">
        <v>2011</v>
      </c>
      <c r="D190" s="153" t="s">
        <v>2012</v>
      </c>
      <c r="E190" s="153" t="s">
        <v>2013</v>
      </c>
      <c r="F190" s="153" t="s">
        <v>2014</v>
      </c>
      <c r="G190" s="153"/>
      <c r="H190" s="153" t="s">
        <v>2015</v>
      </c>
      <c r="I190" s="153" t="s">
        <v>1096</v>
      </c>
      <c r="J190" s="153" t="s">
        <v>172</v>
      </c>
      <c r="K190" s="153">
        <v>20001</v>
      </c>
      <c r="L190" s="153" t="s">
        <v>1067</v>
      </c>
      <c r="M190" s="153"/>
      <c r="N190" s="153" t="s">
        <v>1068</v>
      </c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3"/>
      <c r="AN190" s="153"/>
    </row>
    <row r="191" spans="1:40">
      <c r="A191" s="153">
        <v>300</v>
      </c>
      <c r="B191" s="153" t="s">
        <v>1059</v>
      </c>
      <c r="C191" s="153" t="s">
        <v>2016</v>
      </c>
      <c r="D191" s="153"/>
      <c r="E191" s="153" t="s">
        <v>2017</v>
      </c>
      <c r="F191" s="153" t="s">
        <v>2018</v>
      </c>
      <c r="G191" s="153"/>
      <c r="H191" s="153" t="s">
        <v>2019</v>
      </c>
      <c r="I191" s="153" t="s">
        <v>1262</v>
      </c>
      <c r="J191" s="153" t="s">
        <v>359</v>
      </c>
      <c r="K191" s="153">
        <v>20877</v>
      </c>
      <c r="L191" s="153" t="s">
        <v>2020</v>
      </c>
      <c r="M191" s="153"/>
      <c r="N191" s="153" t="s">
        <v>1068</v>
      </c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  <c r="AD191" s="153"/>
      <c r="AE191" s="153"/>
      <c r="AF191" s="153"/>
      <c r="AG191" s="153"/>
      <c r="AH191" s="153"/>
      <c r="AI191" s="153"/>
      <c r="AJ191" s="153"/>
      <c r="AK191" s="153"/>
      <c r="AL191" s="153"/>
      <c r="AM191" s="153"/>
      <c r="AN191" s="153"/>
    </row>
    <row r="192" spans="1:40">
      <c r="A192" s="153">
        <v>129</v>
      </c>
      <c r="B192" s="153" t="s">
        <v>1059</v>
      </c>
      <c r="C192" s="153" t="s">
        <v>2021</v>
      </c>
      <c r="D192" s="153" t="s">
        <v>2022</v>
      </c>
      <c r="E192" s="153"/>
      <c r="F192" s="153"/>
      <c r="G192" s="153"/>
      <c r="H192" s="153" t="s">
        <v>2023</v>
      </c>
      <c r="I192" s="153" t="s">
        <v>2024</v>
      </c>
      <c r="J192" s="153" t="s">
        <v>359</v>
      </c>
      <c r="K192" s="153">
        <v>21911</v>
      </c>
      <c r="L192" s="153" t="s">
        <v>1067</v>
      </c>
      <c r="M192" s="153"/>
      <c r="N192" s="153" t="s">
        <v>1068</v>
      </c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  <c r="AD192" s="153"/>
      <c r="AE192" s="153"/>
      <c r="AF192" s="153"/>
      <c r="AG192" s="153"/>
      <c r="AH192" s="153"/>
      <c r="AI192" s="153"/>
      <c r="AJ192" s="153"/>
      <c r="AK192" s="153"/>
      <c r="AL192" s="153"/>
      <c r="AM192" s="153"/>
      <c r="AN192" s="153"/>
    </row>
    <row r="193" spans="1:40">
      <c r="A193" s="153">
        <v>378</v>
      </c>
      <c r="B193" s="153" t="s">
        <v>1059</v>
      </c>
      <c r="C193" s="153" t="s">
        <v>2025</v>
      </c>
      <c r="D193" s="153" t="s">
        <v>2026</v>
      </c>
      <c r="E193" s="153" t="s">
        <v>2027</v>
      </c>
      <c r="F193" s="153" t="s">
        <v>2028</v>
      </c>
      <c r="G193" s="153"/>
      <c r="H193" s="153" t="s">
        <v>2029</v>
      </c>
      <c r="I193" s="153" t="s">
        <v>2030</v>
      </c>
      <c r="J193" s="153" t="s">
        <v>359</v>
      </c>
      <c r="K193" s="153">
        <v>21502</v>
      </c>
      <c r="L193" s="153" t="s">
        <v>1067</v>
      </c>
      <c r="M193" s="153"/>
      <c r="N193" s="153" t="s">
        <v>1068</v>
      </c>
      <c r="O193" s="153"/>
      <c r="P193" s="153"/>
      <c r="Q193" s="153"/>
      <c r="R193" s="153"/>
      <c r="S193" s="153"/>
      <c r="T193" s="153"/>
      <c r="U193" s="153" t="s">
        <v>77</v>
      </c>
      <c r="V193" s="153"/>
      <c r="W193" s="153"/>
      <c r="X193" s="153"/>
      <c r="Y193" s="153"/>
      <c r="Z193" s="153"/>
      <c r="AA193" s="153"/>
      <c r="AB193" s="153"/>
      <c r="AC193" s="153"/>
      <c r="AD193" s="153"/>
      <c r="AE193" s="153"/>
      <c r="AF193" s="153"/>
      <c r="AG193" s="153"/>
      <c r="AH193" s="153" t="s">
        <v>1814</v>
      </c>
      <c r="AI193" s="153"/>
      <c r="AJ193" s="153"/>
      <c r="AK193" s="153"/>
      <c r="AL193" s="153"/>
      <c r="AM193" s="153"/>
      <c r="AN193" s="153"/>
    </row>
    <row r="194" spans="1:40">
      <c r="A194" s="153">
        <v>311</v>
      </c>
      <c r="B194" s="153" t="s">
        <v>1059</v>
      </c>
      <c r="C194" s="153" t="s">
        <v>2031</v>
      </c>
      <c r="D194" s="153"/>
      <c r="E194" s="153" t="s">
        <v>2032</v>
      </c>
      <c r="F194" s="153" t="s">
        <v>2033</v>
      </c>
      <c r="G194" s="153"/>
      <c r="H194" s="153"/>
      <c r="I194" s="153"/>
      <c r="J194" s="153"/>
      <c r="K194" s="153"/>
      <c r="L194" s="153" t="s">
        <v>1067</v>
      </c>
      <c r="M194" s="153"/>
      <c r="N194" s="153" t="s">
        <v>1068</v>
      </c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  <c r="AK194" s="153"/>
      <c r="AL194" s="153"/>
      <c r="AM194" s="153"/>
      <c r="AN194" s="153"/>
    </row>
    <row r="195" spans="1:40">
      <c r="A195" s="153">
        <v>374</v>
      </c>
      <c r="B195" s="153" t="s">
        <v>1059</v>
      </c>
      <c r="C195" s="153" t="s">
        <v>2034</v>
      </c>
      <c r="D195" s="153">
        <v>4109444078</v>
      </c>
      <c r="E195" s="153" t="s">
        <v>2035</v>
      </c>
      <c r="F195" s="153" t="s">
        <v>2036</v>
      </c>
      <c r="G195" s="153"/>
      <c r="H195" s="153" t="s">
        <v>2037</v>
      </c>
      <c r="I195" s="153" t="s">
        <v>2038</v>
      </c>
      <c r="J195" s="153" t="s">
        <v>359</v>
      </c>
      <c r="K195" s="153">
        <v>21244</v>
      </c>
      <c r="L195" s="153" t="s">
        <v>1067</v>
      </c>
      <c r="M195" s="153"/>
      <c r="N195" s="153" t="s">
        <v>1068</v>
      </c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  <c r="AD195" s="153"/>
      <c r="AE195" s="153"/>
      <c r="AF195" s="153"/>
      <c r="AG195" s="153"/>
      <c r="AH195" s="153"/>
      <c r="AI195" s="153"/>
      <c r="AJ195" s="153"/>
      <c r="AK195" s="153"/>
      <c r="AL195" s="153"/>
      <c r="AM195" s="153"/>
      <c r="AN195" s="153"/>
    </row>
    <row r="196" spans="1:40">
      <c r="A196" s="153">
        <v>328</v>
      </c>
      <c r="B196" s="153" t="s">
        <v>1059</v>
      </c>
      <c r="C196" s="153" t="s">
        <v>2039</v>
      </c>
      <c r="D196" s="153">
        <v>3014248899</v>
      </c>
      <c r="E196" s="153" t="s">
        <v>1139</v>
      </c>
      <c r="F196" s="153"/>
      <c r="G196" s="153"/>
      <c r="H196" s="153" t="s">
        <v>2040</v>
      </c>
      <c r="I196" s="153" t="s">
        <v>1462</v>
      </c>
      <c r="J196" s="153" t="s">
        <v>359</v>
      </c>
      <c r="K196" s="153">
        <v>20850</v>
      </c>
      <c r="L196" s="153" t="s">
        <v>1067</v>
      </c>
      <c r="M196" s="153"/>
      <c r="N196" s="153" t="s">
        <v>1068</v>
      </c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</row>
    <row r="197" spans="1:40">
      <c r="A197" s="153">
        <v>290</v>
      </c>
      <c r="B197" s="153" t="s">
        <v>1059</v>
      </c>
      <c r="C197" s="153" t="s">
        <v>2041</v>
      </c>
      <c r="D197" s="153">
        <v>2026369451</v>
      </c>
      <c r="E197" s="153" t="s">
        <v>2042</v>
      </c>
      <c r="F197" s="153" t="s">
        <v>2043</v>
      </c>
      <c r="G197" s="153"/>
      <c r="H197" s="153" t="s">
        <v>2044</v>
      </c>
      <c r="I197" s="153" t="s">
        <v>1096</v>
      </c>
      <c r="J197" s="153" t="s">
        <v>172</v>
      </c>
      <c r="K197" s="153">
        <v>20018</v>
      </c>
      <c r="L197" s="153" t="s">
        <v>2045</v>
      </c>
      <c r="M197" s="153"/>
      <c r="N197" s="153" t="s">
        <v>1089</v>
      </c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</row>
    <row r="198" spans="1:40">
      <c r="A198" s="153">
        <v>295</v>
      </c>
      <c r="B198" s="153" t="s">
        <v>1059</v>
      </c>
      <c r="C198" s="153" t="s">
        <v>2046</v>
      </c>
      <c r="D198" s="153">
        <v>3026523593</v>
      </c>
      <c r="E198" s="153" t="s">
        <v>2047</v>
      </c>
      <c r="F198" s="153" t="s">
        <v>2048</v>
      </c>
      <c r="G198" s="153"/>
      <c r="H198" s="153" t="s">
        <v>2049</v>
      </c>
      <c r="I198" s="153" t="s">
        <v>2050</v>
      </c>
      <c r="J198" s="153" t="s">
        <v>938</v>
      </c>
      <c r="K198" s="153">
        <v>19805</v>
      </c>
      <c r="L198" s="153" t="s">
        <v>1067</v>
      </c>
      <c r="M198" s="153"/>
      <c r="N198" s="153" t="s">
        <v>1068</v>
      </c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</row>
    <row r="199" spans="1:40">
      <c r="A199" s="153">
        <v>86</v>
      </c>
      <c r="B199" s="153" t="s">
        <v>1059</v>
      </c>
      <c r="C199" s="153" t="s">
        <v>2051</v>
      </c>
      <c r="D199" s="153">
        <v>5404341731</v>
      </c>
      <c r="E199" s="153" t="s">
        <v>2052</v>
      </c>
      <c r="F199" s="153" t="s">
        <v>2053</v>
      </c>
      <c r="G199" s="153"/>
      <c r="H199" s="153" t="s">
        <v>2054</v>
      </c>
      <c r="I199" s="153" t="s">
        <v>2055</v>
      </c>
      <c r="J199" s="153" t="s">
        <v>916</v>
      </c>
      <c r="K199" s="153">
        <v>22841</v>
      </c>
      <c r="L199" s="153" t="s">
        <v>1067</v>
      </c>
      <c r="M199" s="153"/>
      <c r="N199" s="153" t="s">
        <v>1068</v>
      </c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</row>
    <row r="200" spans="1:40">
      <c r="A200" s="153">
        <v>348</v>
      </c>
      <c r="B200" s="153" t="s">
        <v>1059</v>
      </c>
      <c r="C200" s="153" t="s">
        <v>2056</v>
      </c>
      <c r="D200" s="153">
        <v>2029403038</v>
      </c>
      <c r="E200" s="153" t="s">
        <v>2057</v>
      </c>
      <c r="F200" s="153" t="s">
        <v>2058</v>
      </c>
      <c r="G200" s="153"/>
      <c r="H200" s="153" t="s">
        <v>2059</v>
      </c>
      <c r="I200" s="153" t="s">
        <v>1457</v>
      </c>
      <c r="J200" s="153" t="s">
        <v>359</v>
      </c>
      <c r="K200" s="153">
        <v>20706</v>
      </c>
      <c r="L200" s="153" t="s">
        <v>1607</v>
      </c>
      <c r="M200" s="153"/>
      <c r="N200" s="153" t="s">
        <v>1068</v>
      </c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  <c r="AK200" s="153"/>
      <c r="AL200" s="153"/>
      <c r="AM200" s="153"/>
      <c r="AN200" s="153"/>
    </row>
    <row r="201" spans="1:40">
      <c r="A201" s="153">
        <v>23</v>
      </c>
      <c r="B201" s="153" t="s">
        <v>1059</v>
      </c>
      <c r="C201" s="153" t="s">
        <v>2060</v>
      </c>
      <c r="D201" s="153">
        <v>4102527100</v>
      </c>
      <c r="E201" s="153" t="s">
        <v>2061</v>
      </c>
      <c r="F201" s="153" t="s">
        <v>2062</v>
      </c>
      <c r="G201" s="153"/>
      <c r="H201" s="153" t="s">
        <v>2063</v>
      </c>
      <c r="I201" s="153" t="s">
        <v>2064</v>
      </c>
      <c r="J201" s="153" t="s">
        <v>359</v>
      </c>
      <c r="K201" s="153">
        <v>21090</v>
      </c>
      <c r="L201" s="153" t="s">
        <v>2065</v>
      </c>
      <c r="M201" s="153"/>
      <c r="N201" s="153" t="s">
        <v>1068</v>
      </c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  <c r="AK201" s="153"/>
      <c r="AL201" s="153"/>
      <c r="AM201" s="153"/>
      <c r="AN201" s="153"/>
    </row>
    <row r="202" spans="1:40">
      <c r="A202" s="153">
        <v>26</v>
      </c>
      <c r="B202" s="153" t="s">
        <v>1059</v>
      </c>
      <c r="C202" s="153" t="s">
        <v>2066</v>
      </c>
      <c r="D202" s="153">
        <v>3018686220</v>
      </c>
      <c r="E202" s="153" t="s">
        <v>2067</v>
      </c>
      <c r="F202" s="153" t="s">
        <v>2068</v>
      </c>
      <c r="G202" s="153"/>
      <c r="H202" s="153" t="s">
        <v>2069</v>
      </c>
      <c r="I202" s="153" t="s">
        <v>1692</v>
      </c>
      <c r="J202" s="153" t="s">
        <v>359</v>
      </c>
      <c r="K202" s="153">
        <v>20735</v>
      </c>
      <c r="L202" s="153" t="s">
        <v>2070</v>
      </c>
      <c r="M202" s="153"/>
      <c r="N202" s="153" t="s">
        <v>1089</v>
      </c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  <c r="AK202" s="153"/>
      <c r="AL202" s="153"/>
      <c r="AM202" s="153"/>
      <c r="AN202" s="153"/>
    </row>
    <row r="203" spans="1:40">
      <c r="A203" s="153">
        <v>27</v>
      </c>
      <c r="B203" s="153" t="s">
        <v>1059</v>
      </c>
      <c r="C203" s="153" t="s">
        <v>2071</v>
      </c>
      <c r="D203" s="153">
        <v>2023987957</v>
      </c>
      <c r="E203" s="153" t="s">
        <v>2072</v>
      </c>
      <c r="F203" s="153" t="s">
        <v>2073</v>
      </c>
      <c r="G203" s="153"/>
      <c r="H203" s="153" t="s">
        <v>2074</v>
      </c>
      <c r="I203" s="153" t="s">
        <v>1096</v>
      </c>
      <c r="J203" s="153" t="s">
        <v>172</v>
      </c>
      <c r="K203" s="153">
        <v>20019</v>
      </c>
      <c r="L203" s="153" t="s">
        <v>1067</v>
      </c>
      <c r="M203" s="153"/>
      <c r="N203" s="153" t="s">
        <v>1068</v>
      </c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</row>
    <row r="204" spans="1:40">
      <c r="A204" s="153">
        <v>373</v>
      </c>
      <c r="B204" s="153" t="s">
        <v>1059</v>
      </c>
      <c r="C204" s="153" t="s">
        <v>2075</v>
      </c>
      <c r="D204" s="153">
        <v>3015741555</v>
      </c>
      <c r="E204" s="153" t="s">
        <v>2076</v>
      </c>
      <c r="F204" s="153" t="s">
        <v>2077</v>
      </c>
      <c r="G204" s="153"/>
      <c r="H204" s="153" t="s">
        <v>2078</v>
      </c>
      <c r="I204" s="153" t="s">
        <v>1624</v>
      </c>
      <c r="J204" s="153" t="s">
        <v>359</v>
      </c>
      <c r="K204" s="153">
        <v>20772</v>
      </c>
      <c r="L204" s="153" t="s">
        <v>1067</v>
      </c>
      <c r="M204" s="153"/>
      <c r="N204" s="153" t="s">
        <v>1068</v>
      </c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  <c r="AK204" s="153"/>
      <c r="AL204" s="153"/>
      <c r="AM204" s="153"/>
      <c r="AN204" s="153"/>
    </row>
    <row r="205" spans="1:40">
      <c r="A205" s="153">
        <v>304</v>
      </c>
      <c r="B205" s="153" t="s">
        <v>1059</v>
      </c>
      <c r="C205" s="153" t="s">
        <v>2079</v>
      </c>
      <c r="D205" s="153" t="s">
        <v>2080</v>
      </c>
      <c r="E205" s="153" t="s">
        <v>2081</v>
      </c>
      <c r="F205" s="153" t="s">
        <v>2082</v>
      </c>
      <c r="G205" s="153"/>
      <c r="H205" s="153" t="s">
        <v>2083</v>
      </c>
      <c r="I205" s="153" t="s">
        <v>1546</v>
      </c>
      <c r="J205" s="153" t="s">
        <v>916</v>
      </c>
      <c r="K205" s="153">
        <v>22314</v>
      </c>
      <c r="L205" s="153" t="s">
        <v>1067</v>
      </c>
      <c r="M205" s="153"/>
      <c r="N205" s="153" t="s">
        <v>1068</v>
      </c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3"/>
      <c r="AL205" s="153"/>
      <c r="AM205" s="153"/>
      <c r="AN205" s="153"/>
    </row>
    <row r="206" spans="1:40">
      <c r="A206" s="153">
        <v>325</v>
      </c>
      <c r="B206" s="153" t="s">
        <v>1059</v>
      </c>
      <c r="C206" s="153" t="s">
        <v>2084</v>
      </c>
      <c r="D206" s="153">
        <v>3013091800</v>
      </c>
      <c r="E206" s="153" t="s">
        <v>2085</v>
      </c>
      <c r="F206" s="153" t="s">
        <v>2086</v>
      </c>
      <c r="G206" s="153"/>
      <c r="H206" s="153" t="s">
        <v>2087</v>
      </c>
      <c r="I206" s="153" t="s">
        <v>1462</v>
      </c>
      <c r="J206" s="153" t="s">
        <v>359</v>
      </c>
      <c r="K206" s="153">
        <v>20850</v>
      </c>
      <c r="L206" s="153" t="s">
        <v>1067</v>
      </c>
      <c r="M206" s="153"/>
      <c r="N206" s="153" t="s">
        <v>1068</v>
      </c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  <c r="AN206" s="153"/>
    </row>
    <row r="207" spans="1:40">
      <c r="A207" s="153">
        <v>35</v>
      </c>
      <c r="B207" s="153" t="s">
        <v>1059</v>
      </c>
      <c r="C207" s="153" t="s">
        <v>2088</v>
      </c>
      <c r="D207" s="153" t="s">
        <v>2089</v>
      </c>
      <c r="E207" s="153" t="s">
        <v>2090</v>
      </c>
      <c r="F207" s="153" t="s">
        <v>2091</v>
      </c>
      <c r="G207" s="153"/>
      <c r="H207" s="153" t="s">
        <v>2092</v>
      </c>
      <c r="I207" s="153" t="s">
        <v>1462</v>
      </c>
      <c r="J207" s="153" t="s">
        <v>359</v>
      </c>
      <c r="K207" s="153">
        <v>20850</v>
      </c>
      <c r="L207" s="153" t="s">
        <v>2093</v>
      </c>
      <c r="M207" s="153"/>
      <c r="N207" s="153" t="s">
        <v>1089</v>
      </c>
      <c r="O207" s="153"/>
      <c r="P207" s="153" t="s">
        <v>1574</v>
      </c>
      <c r="Q207" s="153" t="s">
        <v>33</v>
      </c>
      <c r="R207" s="153"/>
      <c r="S207" s="153"/>
      <c r="T207" s="153"/>
      <c r="U207" s="153" t="s">
        <v>92</v>
      </c>
      <c r="V207" s="153" t="s">
        <v>92</v>
      </c>
      <c r="W207" s="153" t="s">
        <v>1089</v>
      </c>
      <c r="X207" s="153" t="s">
        <v>77</v>
      </c>
      <c r="Y207" s="153" t="s">
        <v>77</v>
      </c>
      <c r="Z207" s="153" t="s">
        <v>77</v>
      </c>
      <c r="AA207" s="153"/>
      <c r="AB207" s="153"/>
      <c r="AC207" s="153"/>
      <c r="AD207" s="153"/>
      <c r="AE207" s="153"/>
      <c r="AF207" s="153"/>
      <c r="AG207" s="153" t="s">
        <v>92</v>
      </c>
      <c r="AH207" s="153" t="s">
        <v>1276</v>
      </c>
      <c r="AI207" s="153" t="s">
        <v>2094</v>
      </c>
      <c r="AJ207" s="153" t="s">
        <v>2095</v>
      </c>
      <c r="AK207" s="153" t="s">
        <v>2096</v>
      </c>
      <c r="AL207" s="153" t="s">
        <v>2097</v>
      </c>
      <c r="AM207" s="153"/>
      <c r="AN207" s="153"/>
    </row>
    <row r="208" spans="1:40">
      <c r="A208" s="153">
        <v>356</v>
      </c>
      <c r="B208" s="153" t="s">
        <v>1059</v>
      </c>
      <c r="C208" s="153" t="s">
        <v>2098</v>
      </c>
      <c r="D208" s="153" t="s">
        <v>2099</v>
      </c>
      <c r="E208" s="153"/>
      <c r="F208" s="153"/>
      <c r="G208" s="153"/>
      <c r="H208" s="153" t="s">
        <v>2100</v>
      </c>
      <c r="I208" s="153" t="s">
        <v>2101</v>
      </c>
      <c r="J208" s="153" t="s">
        <v>1967</v>
      </c>
      <c r="K208" s="153">
        <v>30096</v>
      </c>
      <c r="L208" s="153" t="s">
        <v>1067</v>
      </c>
      <c r="M208" s="153"/>
      <c r="N208" s="153" t="s">
        <v>1068</v>
      </c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/>
    </row>
    <row r="209" spans="1:40">
      <c r="A209" s="153">
        <v>127</v>
      </c>
      <c r="B209" s="153" t="s">
        <v>1059</v>
      </c>
      <c r="C209" s="153" t="s">
        <v>2102</v>
      </c>
      <c r="D209" s="153" t="s">
        <v>2103</v>
      </c>
      <c r="E209" s="153" t="s">
        <v>2104</v>
      </c>
      <c r="F209" s="153" t="s">
        <v>2105</v>
      </c>
      <c r="G209" s="153"/>
      <c r="H209" s="153" t="s">
        <v>2106</v>
      </c>
      <c r="I209" s="153" t="s">
        <v>2107</v>
      </c>
      <c r="J209" s="153" t="s">
        <v>359</v>
      </c>
      <c r="K209" s="153">
        <v>21074</v>
      </c>
      <c r="L209" s="153" t="s">
        <v>1067</v>
      </c>
      <c r="M209" s="153"/>
      <c r="N209" s="153" t="s">
        <v>1068</v>
      </c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  <c r="AK209" s="153"/>
      <c r="AL209" s="153"/>
      <c r="AM209" s="153"/>
      <c r="AN209" s="153"/>
    </row>
    <row r="210" spans="1:40">
      <c r="A210" s="153">
        <v>104</v>
      </c>
      <c r="B210" s="153" t="s">
        <v>1059</v>
      </c>
      <c r="C210" s="153" t="s">
        <v>2108</v>
      </c>
      <c r="D210" s="153">
        <v>4109929570</v>
      </c>
      <c r="E210" s="153" t="s">
        <v>2109</v>
      </c>
      <c r="F210" s="153" t="s">
        <v>2110</v>
      </c>
      <c r="G210" s="153"/>
      <c r="H210" s="153" t="s">
        <v>2111</v>
      </c>
      <c r="I210" s="153" t="s">
        <v>1617</v>
      </c>
      <c r="J210" s="153" t="s">
        <v>359</v>
      </c>
      <c r="K210" s="153">
        <v>21045</v>
      </c>
      <c r="L210" s="153" t="s">
        <v>2112</v>
      </c>
      <c r="M210" s="153"/>
      <c r="N210" s="153" t="s">
        <v>1068</v>
      </c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  <c r="AK210" s="153"/>
      <c r="AL210" s="153"/>
      <c r="AM210" s="153"/>
      <c r="AN210" s="153"/>
    </row>
    <row r="211" spans="1:40">
      <c r="A211" s="153">
        <v>41</v>
      </c>
      <c r="B211" s="153" t="s">
        <v>1059</v>
      </c>
      <c r="C211" s="153" t="s">
        <v>2113</v>
      </c>
      <c r="D211" s="153">
        <v>8008727684</v>
      </c>
      <c r="E211" s="153" t="s">
        <v>2114</v>
      </c>
      <c r="F211" s="153" t="s">
        <v>2115</v>
      </c>
      <c r="G211" s="153"/>
      <c r="H211" s="153" t="s">
        <v>2116</v>
      </c>
      <c r="I211" s="153" t="s">
        <v>2117</v>
      </c>
      <c r="J211" s="153" t="s">
        <v>1883</v>
      </c>
      <c r="K211" s="153">
        <v>44515</v>
      </c>
      <c r="L211" s="153" t="s">
        <v>1067</v>
      </c>
      <c r="M211" s="153"/>
      <c r="N211" s="153" t="s">
        <v>1068</v>
      </c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  <c r="AK211" s="153"/>
      <c r="AL211" s="153"/>
      <c r="AM211" s="153"/>
      <c r="AN211" s="153"/>
    </row>
    <row r="212" spans="1:40">
      <c r="A212" s="153">
        <v>45</v>
      </c>
      <c r="B212" s="153" t="s">
        <v>1059</v>
      </c>
      <c r="C212" s="153" t="s">
        <v>2118</v>
      </c>
      <c r="D212" s="153">
        <v>3012939883</v>
      </c>
      <c r="E212" s="153" t="s">
        <v>1707</v>
      </c>
      <c r="F212" s="153" t="s">
        <v>2119</v>
      </c>
      <c r="G212" s="153"/>
      <c r="H212" s="153" t="s">
        <v>2120</v>
      </c>
      <c r="I212" s="153" t="s">
        <v>2121</v>
      </c>
      <c r="J212" s="153" t="s">
        <v>359</v>
      </c>
      <c r="K212" s="153">
        <v>21797</v>
      </c>
      <c r="L212" s="153" t="s">
        <v>1067</v>
      </c>
      <c r="M212" s="153"/>
      <c r="N212" s="153" t="s">
        <v>1068</v>
      </c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  <c r="AK212" s="153"/>
      <c r="AL212" s="153"/>
      <c r="AM212" s="153"/>
      <c r="AN212" s="153"/>
    </row>
    <row r="213" spans="1:40">
      <c r="A213" s="153">
        <v>46</v>
      </c>
      <c r="B213" s="153" t="s">
        <v>1059</v>
      </c>
      <c r="C213" s="153" t="s">
        <v>2122</v>
      </c>
      <c r="D213" s="153">
        <v>4105390224</v>
      </c>
      <c r="E213" s="153" t="s">
        <v>2123</v>
      </c>
      <c r="F213" s="153" t="s">
        <v>2124</v>
      </c>
      <c r="G213" s="153"/>
      <c r="H213" s="153" t="s">
        <v>2125</v>
      </c>
      <c r="I213" s="153" t="s">
        <v>1074</v>
      </c>
      <c r="J213" s="153" t="s">
        <v>359</v>
      </c>
      <c r="K213" s="153">
        <v>21230</v>
      </c>
      <c r="L213" s="153" t="s">
        <v>2126</v>
      </c>
      <c r="M213" s="153"/>
      <c r="N213" s="153" t="s">
        <v>1068</v>
      </c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  <c r="AK213" s="153"/>
      <c r="AL213" s="153"/>
      <c r="AM213" s="153"/>
      <c r="AN213" s="153"/>
    </row>
    <row r="214" spans="1:40">
      <c r="A214" s="153">
        <v>47</v>
      </c>
      <c r="B214" s="153" t="s">
        <v>1059</v>
      </c>
      <c r="C214" s="153" t="s">
        <v>2127</v>
      </c>
      <c r="D214" s="153">
        <v>7038345570</v>
      </c>
      <c r="E214" s="153" t="s">
        <v>2128</v>
      </c>
      <c r="F214" s="153" t="s">
        <v>2129</v>
      </c>
      <c r="G214" s="153"/>
      <c r="H214" s="153" t="s">
        <v>2130</v>
      </c>
      <c r="I214" s="153" t="s">
        <v>2131</v>
      </c>
      <c r="J214" s="153" t="s">
        <v>359</v>
      </c>
      <c r="K214" s="153">
        <v>20166</v>
      </c>
      <c r="L214" s="153" t="s">
        <v>2132</v>
      </c>
      <c r="M214" s="153"/>
      <c r="N214" s="153" t="s">
        <v>1068</v>
      </c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  <c r="AK214" s="153"/>
      <c r="AL214" s="153"/>
      <c r="AM214" s="153"/>
      <c r="AN214" s="153"/>
    </row>
    <row r="215" spans="1:40">
      <c r="A215" s="153">
        <v>458</v>
      </c>
      <c r="B215" s="153" t="s">
        <v>1059</v>
      </c>
      <c r="C215" s="153" t="s">
        <v>2133</v>
      </c>
      <c r="D215" s="153"/>
      <c r="E215" s="153" t="s">
        <v>2134</v>
      </c>
      <c r="F215" s="153" t="s">
        <v>2135</v>
      </c>
      <c r="G215" s="153"/>
      <c r="H215" s="153"/>
      <c r="I215" s="153"/>
      <c r="J215" s="153"/>
      <c r="K215" s="153"/>
      <c r="L215" s="153" t="s">
        <v>2136</v>
      </c>
      <c r="M215" s="153"/>
      <c r="N215" s="153" t="s">
        <v>1089</v>
      </c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  <c r="AK215" s="153"/>
      <c r="AL215" s="153"/>
      <c r="AM215" s="153"/>
      <c r="AN215" s="153"/>
    </row>
    <row r="216" spans="1:40">
      <c r="A216" s="153">
        <v>319</v>
      </c>
      <c r="B216" s="153" t="s">
        <v>1059</v>
      </c>
      <c r="C216" s="153" t="s">
        <v>2137</v>
      </c>
      <c r="D216" s="153">
        <v>4439399245</v>
      </c>
      <c r="E216" s="153" t="s">
        <v>2138</v>
      </c>
      <c r="F216" s="153" t="s">
        <v>2139</v>
      </c>
      <c r="G216" s="153"/>
      <c r="H216" s="153" t="s">
        <v>2140</v>
      </c>
      <c r="I216" s="153" t="s">
        <v>1074</v>
      </c>
      <c r="J216" s="153" t="s">
        <v>359</v>
      </c>
      <c r="K216" s="153">
        <v>21206</v>
      </c>
      <c r="L216" s="153" t="s">
        <v>2141</v>
      </c>
      <c r="M216" s="153"/>
      <c r="N216" s="153" t="s">
        <v>1068</v>
      </c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  <c r="AK216" s="153"/>
      <c r="AL216" s="153"/>
      <c r="AM216" s="153"/>
      <c r="AN216" s="153"/>
    </row>
    <row r="217" spans="1:40">
      <c r="A217" s="153">
        <v>167</v>
      </c>
      <c r="B217" s="153" t="s">
        <v>1059</v>
      </c>
      <c r="C217" s="153" t="s">
        <v>2142</v>
      </c>
      <c r="D217" s="153">
        <v>3019310100</v>
      </c>
      <c r="E217" s="153" t="s">
        <v>2143</v>
      </c>
      <c r="F217" s="153" t="s">
        <v>2144</v>
      </c>
      <c r="G217" s="153"/>
      <c r="H217" s="153" t="s">
        <v>2145</v>
      </c>
      <c r="I217" s="153" t="s">
        <v>1066</v>
      </c>
      <c r="J217" s="153" t="s">
        <v>359</v>
      </c>
      <c r="K217" s="153">
        <v>20705</v>
      </c>
      <c r="L217" s="153" t="s">
        <v>2146</v>
      </c>
      <c r="M217" s="153"/>
      <c r="N217" s="153" t="s">
        <v>1068</v>
      </c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3"/>
      <c r="AN217" s="153"/>
    </row>
    <row r="218" spans="1:40">
      <c r="A218" s="153">
        <v>199</v>
      </c>
      <c r="B218" s="153" t="s">
        <v>1059</v>
      </c>
      <c r="C218" s="153" t="s">
        <v>2147</v>
      </c>
      <c r="D218" s="153"/>
      <c r="E218" s="153"/>
      <c r="F218" s="153"/>
      <c r="G218" s="153"/>
      <c r="H218" s="153" t="s">
        <v>2148</v>
      </c>
      <c r="I218" s="153" t="s">
        <v>1074</v>
      </c>
      <c r="J218" s="153" t="s">
        <v>359</v>
      </c>
      <c r="K218" s="153">
        <v>21227</v>
      </c>
      <c r="L218" s="153" t="s">
        <v>1067</v>
      </c>
      <c r="M218" s="153"/>
      <c r="N218" s="153" t="s">
        <v>1068</v>
      </c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  <c r="AK218" s="153"/>
      <c r="AL218" s="153"/>
      <c r="AM218" s="153"/>
      <c r="AN218" s="153"/>
    </row>
    <row r="219" spans="1:40">
      <c r="A219" s="153">
        <v>52</v>
      </c>
      <c r="B219" s="153" t="s">
        <v>1059</v>
      </c>
      <c r="C219" s="153" t="s">
        <v>2149</v>
      </c>
      <c r="D219" s="153">
        <v>4102428800</v>
      </c>
      <c r="E219" s="153" t="s">
        <v>2150</v>
      </c>
      <c r="F219" s="153" t="s">
        <v>2151</v>
      </c>
      <c r="G219" s="153"/>
      <c r="H219" s="153" t="s">
        <v>2152</v>
      </c>
      <c r="I219" s="153" t="s">
        <v>2153</v>
      </c>
      <c r="J219" s="153" t="s">
        <v>359</v>
      </c>
      <c r="K219" s="153">
        <v>21227</v>
      </c>
      <c r="L219" s="153" t="s">
        <v>1067</v>
      </c>
      <c r="M219" s="153"/>
      <c r="N219" s="153" t="s">
        <v>1068</v>
      </c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  <c r="AD219" s="153"/>
      <c r="AE219" s="153"/>
      <c r="AF219" s="153"/>
      <c r="AG219" s="153"/>
      <c r="AH219" s="153"/>
      <c r="AI219" s="153"/>
      <c r="AJ219" s="153"/>
      <c r="AK219" s="153"/>
      <c r="AL219" s="153"/>
      <c r="AM219" s="153"/>
      <c r="AN219" s="153"/>
    </row>
    <row r="220" spans="1:40">
      <c r="A220" s="153">
        <v>54</v>
      </c>
      <c r="B220" s="153" t="s">
        <v>1059</v>
      </c>
      <c r="C220" s="153" t="s">
        <v>2154</v>
      </c>
      <c r="D220" s="153">
        <v>4103588078</v>
      </c>
      <c r="E220" s="153" t="s">
        <v>2155</v>
      </c>
      <c r="F220" s="153" t="s">
        <v>2156</v>
      </c>
      <c r="G220" s="153"/>
      <c r="H220" s="153" t="s">
        <v>2157</v>
      </c>
      <c r="I220" s="153" t="s">
        <v>2158</v>
      </c>
      <c r="J220" s="153" t="s">
        <v>359</v>
      </c>
      <c r="K220" s="153">
        <v>21117</v>
      </c>
      <c r="L220" s="153" t="s">
        <v>2159</v>
      </c>
      <c r="M220" s="153"/>
      <c r="N220" s="153" t="s">
        <v>1068</v>
      </c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3"/>
      <c r="AK220" s="153"/>
      <c r="AL220" s="153"/>
      <c r="AM220" s="153"/>
      <c r="AN220" s="153"/>
    </row>
    <row r="221" spans="1:40">
      <c r="A221" s="153">
        <v>57</v>
      </c>
      <c r="B221" s="153" t="s">
        <v>1059</v>
      </c>
      <c r="C221" s="153" t="s">
        <v>2160</v>
      </c>
      <c r="D221" s="153"/>
      <c r="E221" s="153" t="s">
        <v>2161</v>
      </c>
      <c r="F221" s="153" t="s">
        <v>2162</v>
      </c>
      <c r="G221" s="153"/>
      <c r="H221" s="153" t="s">
        <v>2163</v>
      </c>
      <c r="I221" s="153" t="s">
        <v>1956</v>
      </c>
      <c r="J221" s="153" t="s">
        <v>359</v>
      </c>
      <c r="K221" s="153">
        <v>21076</v>
      </c>
      <c r="L221" s="153" t="s">
        <v>2164</v>
      </c>
      <c r="M221" s="153"/>
      <c r="N221" s="153" t="s">
        <v>1068</v>
      </c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</row>
    <row r="222" spans="1:40">
      <c r="A222" s="153">
        <v>262</v>
      </c>
      <c r="B222" s="153" t="s">
        <v>1059</v>
      </c>
      <c r="C222" s="153" t="s">
        <v>2165</v>
      </c>
      <c r="D222" s="153" t="s">
        <v>2166</v>
      </c>
      <c r="E222" s="153" t="s">
        <v>2167</v>
      </c>
      <c r="F222" s="153" t="s">
        <v>2168</v>
      </c>
      <c r="G222" s="153"/>
      <c r="H222" s="153" t="s">
        <v>2169</v>
      </c>
      <c r="I222" s="153" t="s">
        <v>1956</v>
      </c>
      <c r="J222" s="153" t="s">
        <v>359</v>
      </c>
      <c r="K222" s="153">
        <v>21076</v>
      </c>
      <c r="L222" s="153" t="s">
        <v>2170</v>
      </c>
      <c r="M222" s="153"/>
      <c r="N222" s="153" t="s">
        <v>1068</v>
      </c>
      <c r="O222" s="153"/>
      <c r="P222" s="153"/>
      <c r="Q222" s="153"/>
      <c r="R222" s="153"/>
      <c r="S222" s="153"/>
      <c r="T222" s="153"/>
      <c r="U222" s="153" t="s">
        <v>92</v>
      </c>
      <c r="V222" s="153" t="s">
        <v>77</v>
      </c>
      <c r="W222" s="153" t="s">
        <v>1575</v>
      </c>
      <c r="X222" s="153" t="s">
        <v>77</v>
      </c>
      <c r="Y222" s="153" t="s">
        <v>77</v>
      </c>
      <c r="Z222" s="153" t="s">
        <v>77</v>
      </c>
      <c r="AA222" s="153"/>
      <c r="AB222" s="153"/>
      <c r="AC222" s="153"/>
      <c r="AD222" s="153"/>
      <c r="AE222" s="153"/>
      <c r="AF222" s="153"/>
      <c r="AG222" s="153" t="s">
        <v>92</v>
      </c>
      <c r="AH222" s="153" t="s">
        <v>1276</v>
      </c>
      <c r="AI222" s="153"/>
      <c r="AJ222" s="153" t="s">
        <v>1090</v>
      </c>
      <c r="AK222" s="153"/>
      <c r="AL222" s="153" t="s">
        <v>2171</v>
      </c>
      <c r="AM222" s="153"/>
      <c r="AN222" s="153"/>
    </row>
    <row r="223" spans="1:40">
      <c r="A223" s="153">
        <v>162</v>
      </c>
      <c r="B223" s="153" t="s">
        <v>1059</v>
      </c>
      <c r="C223" s="153" t="s">
        <v>2172</v>
      </c>
      <c r="D223" s="153">
        <v>2025460080</v>
      </c>
      <c r="E223" s="153" t="s">
        <v>2173</v>
      </c>
      <c r="F223" s="153" t="s">
        <v>2174</v>
      </c>
      <c r="G223" s="153"/>
      <c r="H223" s="153" t="s">
        <v>2175</v>
      </c>
      <c r="I223" s="153" t="s">
        <v>1096</v>
      </c>
      <c r="J223" s="153" t="s">
        <v>172</v>
      </c>
      <c r="K223" s="153">
        <v>20017</v>
      </c>
      <c r="L223" s="153" t="s">
        <v>1067</v>
      </c>
      <c r="M223" s="153"/>
      <c r="N223" s="153" t="s">
        <v>1068</v>
      </c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3"/>
      <c r="AH223" s="153"/>
      <c r="AI223" s="153"/>
      <c r="AJ223" s="153"/>
      <c r="AK223" s="153"/>
      <c r="AL223" s="153"/>
      <c r="AM223" s="153"/>
      <c r="AN223" s="153"/>
    </row>
    <row r="224" spans="1:40">
      <c r="A224" s="153">
        <v>59</v>
      </c>
      <c r="B224" s="153" t="s">
        <v>1059</v>
      </c>
      <c r="C224" s="153" t="s">
        <v>2176</v>
      </c>
      <c r="D224" s="153">
        <v>3013746658</v>
      </c>
      <c r="E224" s="153" t="s">
        <v>2177</v>
      </c>
      <c r="F224" s="153" t="s">
        <v>2178</v>
      </c>
      <c r="G224" s="153"/>
      <c r="H224" s="153" t="s">
        <v>2179</v>
      </c>
      <c r="I224" s="153" t="s">
        <v>2180</v>
      </c>
      <c r="J224" s="153" t="s">
        <v>359</v>
      </c>
      <c r="K224" s="153">
        <v>20602</v>
      </c>
      <c r="L224" s="153" t="s">
        <v>1067</v>
      </c>
      <c r="M224" s="153"/>
      <c r="N224" s="153" t="s">
        <v>1068</v>
      </c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  <c r="AK224" s="153"/>
      <c r="AL224" s="153"/>
      <c r="AM224" s="153"/>
      <c r="AN224" s="153"/>
    </row>
    <row r="225" spans="1:40">
      <c r="A225" s="153">
        <v>60</v>
      </c>
      <c r="B225" s="153" t="s">
        <v>1059</v>
      </c>
      <c r="C225" s="153" t="s">
        <v>2181</v>
      </c>
      <c r="D225" s="153">
        <v>4108664900</v>
      </c>
      <c r="E225" s="153" t="s">
        <v>2182</v>
      </c>
      <c r="F225" s="153" t="s">
        <v>2183</v>
      </c>
      <c r="G225" s="153"/>
      <c r="H225" s="153" t="s">
        <v>1721</v>
      </c>
      <c r="I225" s="153" t="s">
        <v>1074</v>
      </c>
      <c r="J225" s="153" t="s">
        <v>359</v>
      </c>
      <c r="K225" s="153">
        <v>21237</v>
      </c>
      <c r="L225" s="153" t="s">
        <v>1067</v>
      </c>
      <c r="M225" s="153"/>
      <c r="N225" s="153" t="s">
        <v>1068</v>
      </c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  <c r="AK225" s="153"/>
      <c r="AL225" s="153"/>
      <c r="AM225" s="153"/>
      <c r="AN225" s="153"/>
    </row>
    <row r="226" spans="1:40">
      <c r="A226" s="153">
        <v>62</v>
      </c>
      <c r="B226" s="153" t="s">
        <v>1059</v>
      </c>
      <c r="C226" s="153" t="s">
        <v>2184</v>
      </c>
      <c r="D226" s="153" t="s">
        <v>2185</v>
      </c>
      <c r="E226" s="153" t="s">
        <v>2186</v>
      </c>
      <c r="F226" s="153" t="s">
        <v>2187</v>
      </c>
      <c r="G226" s="153" t="s">
        <v>2188</v>
      </c>
      <c r="H226" s="153" t="s">
        <v>2189</v>
      </c>
      <c r="I226" s="153" t="s">
        <v>1074</v>
      </c>
      <c r="J226" s="153" t="s">
        <v>359</v>
      </c>
      <c r="K226" s="153">
        <v>21227</v>
      </c>
      <c r="L226" s="153" t="s">
        <v>2190</v>
      </c>
      <c r="M226" s="153"/>
      <c r="N226" s="153" t="s">
        <v>1068</v>
      </c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  <c r="AC226" s="153"/>
      <c r="AD226" s="153"/>
      <c r="AE226" s="153"/>
      <c r="AF226" s="153"/>
      <c r="AG226" s="153"/>
      <c r="AH226" s="153" t="s">
        <v>2191</v>
      </c>
      <c r="AI226" s="153"/>
      <c r="AJ226" s="153" t="s">
        <v>2095</v>
      </c>
      <c r="AK226" s="153"/>
      <c r="AL226" s="153"/>
      <c r="AM226" s="153"/>
      <c r="AN226" s="153"/>
    </row>
    <row r="227" spans="1:40">
      <c r="A227" s="153">
        <v>63</v>
      </c>
      <c r="B227" s="153" t="s">
        <v>1059</v>
      </c>
      <c r="C227" s="153" t="s">
        <v>2192</v>
      </c>
      <c r="D227" s="153">
        <v>4438370828</v>
      </c>
      <c r="E227" s="153" t="s">
        <v>2193</v>
      </c>
      <c r="F227" s="153" t="s">
        <v>2194</v>
      </c>
      <c r="G227" s="153"/>
      <c r="H227" s="153" t="s">
        <v>2195</v>
      </c>
      <c r="I227" s="153" t="s">
        <v>1624</v>
      </c>
      <c r="J227" s="153" t="s">
        <v>359</v>
      </c>
      <c r="K227" s="153">
        <v>20774</v>
      </c>
      <c r="L227" s="153" t="s">
        <v>2196</v>
      </c>
      <c r="M227" s="153"/>
      <c r="N227" s="153" t="s">
        <v>1068</v>
      </c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  <c r="AC227" s="153"/>
      <c r="AD227" s="153"/>
      <c r="AE227" s="153"/>
      <c r="AF227" s="153"/>
      <c r="AG227" s="153"/>
      <c r="AH227" s="153"/>
      <c r="AI227" s="153"/>
      <c r="AJ227" s="153"/>
      <c r="AK227" s="153"/>
      <c r="AL227" s="153"/>
      <c r="AM227" s="153"/>
      <c r="AN227" s="153"/>
    </row>
    <row r="228" spans="1:40">
      <c r="A228" s="153">
        <v>69</v>
      </c>
      <c r="B228" s="153" t="s">
        <v>1059</v>
      </c>
      <c r="C228" s="153" t="s">
        <v>2197</v>
      </c>
      <c r="D228" s="153">
        <v>5712921273</v>
      </c>
      <c r="E228" s="153" t="s">
        <v>2198</v>
      </c>
      <c r="F228" s="153" t="s">
        <v>2199</v>
      </c>
      <c r="G228" s="153"/>
      <c r="H228" s="153" t="s">
        <v>2200</v>
      </c>
      <c r="I228" s="153" t="s">
        <v>2201</v>
      </c>
      <c r="J228" s="153" t="s">
        <v>916</v>
      </c>
      <c r="K228" s="153">
        <v>20111</v>
      </c>
      <c r="L228" s="153" t="s">
        <v>2202</v>
      </c>
      <c r="M228" s="153"/>
      <c r="N228" s="153" t="s">
        <v>1068</v>
      </c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3"/>
      <c r="AG228" s="153"/>
      <c r="AH228" s="153"/>
      <c r="AI228" s="153"/>
      <c r="AJ228" s="153"/>
      <c r="AK228" s="153"/>
      <c r="AL228" s="153"/>
      <c r="AM228" s="153"/>
      <c r="AN228" s="153"/>
    </row>
    <row r="229" spans="1:40">
      <c r="A229" s="153">
        <v>346</v>
      </c>
      <c r="B229" s="153" t="s">
        <v>1059</v>
      </c>
      <c r="C229" s="153" t="s">
        <v>2203</v>
      </c>
      <c r="D229" s="153">
        <v>6517689367</v>
      </c>
      <c r="E229" s="153" t="s">
        <v>1139</v>
      </c>
      <c r="F229" s="153"/>
      <c r="G229" s="153"/>
      <c r="H229" s="153" t="s">
        <v>2204</v>
      </c>
      <c r="I229" s="153" t="s">
        <v>2205</v>
      </c>
      <c r="J229" s="153" t="s">
        <v>2206</v>
      </c>
      <c r="K229" s="153">
        <v>55071</v>
      </c>
      <c r="L229" s="153" t="s">
        <v>2207</v>
      </c>
      <c r="M229" s="153"/>
      <c r="N229" s="153" t="s">
        <v>1068</v>
      </c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  <c r="AB229" s="153"/>
      <c r="AC229" s="153"/>
      <c r="AD229" s="153"/>
      <c r="AE229" s="153"/>
      <c r="AF229" s="153"/>
      <c r="AG229" s="153"/>
      <c r="AH229" s="153"/>
      <c r="AI229" s="153"/>
      <c r="AJ229" s="153"/>
      <c r="AK229" s="153"/>
      <c r="AL229" s="153"/>
      <c r="AM229" s="153"/>
      <c r="AN229" s="153"/>
    </row>
    <row r="230" spans="1:40">
      <c r="A230" s="153">
        <v>72</v>
      </c>
      <c r="B230" s="153" t="s">
        <v>1059</v>
      </c>
      <c r="C230" s="153" t="s">
        <v>2208</v>
      </c>
      <c r="D230" s="153">
        <v>4106881210</v>
      </c>
      <c r="E230" s="153" t="s">
        <v>2209</v>
      </c>
      <c r="F230" s="153" t="s">
        <v>2210</v>
      </c>
      <c r="G230" s="153"/>
      <c r="H230" s="153" t="s">
        <v>2211</v>
      </c>
      <c r="I230" s="153" t="s">
        <v>1074</v>
      </c>
      <c r="J230" s="153" t="s">
        <v>359</v>
      </c>
      <c r="K230" s="153">
        <v>21234</v>
      </c>
      <c r="L230" s="153" t="s">
        <v>2212</v>
      </c>
      <c r="M230" s="153"/>
      <c r="N230" s="153" t="s">
        <v>1068</v>
      </c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3"/>
      <c r="AH230" s="153"/>
      <c r="AI230" s="153"/>
      <c r="AJ230" s="153"/>
      <c r="AK230" s="153"/>
      <c r="AL230" s="153"/>
      <c r="AM230" s="153"/>
      <c r="AN230" s="153"/>
    </row>
    <row r="231" spans="1:40">
      <c r="A231" s="153">
        <v>350</v>
      </c>
      <c r="B231" s="153" t="s">
        <v>1059</v>
      </c>
      <c r="C231" s="153" t="s">
        <v>2213</v>
      </c>
      <c r="D231" s="153" t="s">
        <v>2214</v>
      </c>
      <c r="E231" s="153" t="s">
        <v>2215</v>
      </c>
      <c r="F231" s="153" t="s">
        <v>2216</v>
      </c>
      <c r="G231" s="153"/>
      <c r="H231" s="153" t="s">
        <v>2217</v>
      </c>
      <c r="I231" s="153" t="s">
        <v>2218</v>
      </c>
      <c r="J231" s="153" t="s">
        <v>359</v>
      </c>
      <c r="K231" s="153">
        <v>21754</v>
      </c>
      <c r="L231" s="153" t="s">
        <v>1067</v>
      </c>
      <c r="M231" s="153"/>
      <c r="N231" s="153" t="s">
        <v>1068</v>
      </c>
      <c r="O231" s="153"/>
      <c r="P231" s="153"/>
      <c r="Q231" s="153"/>
      <c r="R231" s="153"/>
      <c r="S231" s="153"/>
      <c r="T231" s="153"/>
      <c r="U231" s="153" t="s">
        <v>77</v>
      </c>
      <c r="V231" s="153"/>
      <c r="W231" s="153"/>
      <c r="X231" s="153"/>
      <c r="Y231" s="153"/>
      <c r="Z231" s="153"/>
      <c r="AA231" s="153"/>
      <c r="AB231" s="153"/>
      <c r="AC231" s="153"/>
      <c r="AD231" s="153"/>
      <c r="AE231" s="153"/>
      <c r="AF231" s="153"/>
      <c r="AG231" s="153"/>
      <c r="AH231" s="153"/>
      <c r="AI231" s="153"/>
      <c r="AJ231" s="153"/>
      <c r="AK231" s="153"/>
      <c r="AL231" s="153"/>
      <c r="AM231" s="153"/>
      <c r="AN231" s="153"/>
    </row>
    <row r="232" spans="1:40">
      <c r="A232" s="153">
        <v>77</v>
      </c>
      <c r="B232" s="153" t="s">
        <v>1059</v>
      </c>
      <c r="C232" s="153" t="s">
        <v>2219</v>
      </c>
      <c r="D232" s="153">
        <v>7039726053</v>
      </c>
      <c r="E232" s="153" t="s">
        <v>2220</v>
      </c>
      <c r="F232" s="153" t="s">
        <v>2221</v>
      </c>
      <c r="G232" s="153"/>
      <c r="H232" s="153" t="s">
        <v>2222</v>
      </c>
      <c r="I232" s="153" t="s">
        <v>1422</v>
      </c>
      <c r="J232" s="153" t="s">
        <v>916</v>
      </c>
      <c r="K232" s="153">
        <v>20151</v>
      </c>
      <c r="L232" s="153" t="s">
        <v>1067</v>
      </c>
      <c r="M232" s="153"/>
      <c r="N232" s="153" t="s">
        <v>1068</v>
      </c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  <c r="AC232" s="153"/>
      <c r="AD232" s="153"/>
      <c r="AE232" s="153"/>
      <c r="AF232" s="153"/>
      <c r="AG232" s="153"/>
      <c r="AH232" s="153"/>
      <c r="AI232" s="153"/>
      <c r="AJ232" s="153"/>
      <c r="AK232" s="153"/>
      <c r="AL232" s="153"/>
      <c r="AM232" s="153"/>
      <c r="AN232" s="153"/>
    </row>
    <row r="233" spans="1:40">
      <c r="A233" s="153">
        <v>387</v>
      </c>
      <c r="B233" s="153" t="s">
        <v>1059</v>
      </c>
      <c r="C233" s="153" t="s">
        <v>2223</v>
      </c>
      <c r="D233" s="153" t="s">
        <v>2224</v>
      </c>
      <c r="E233" s="153" t="s">
        <v>2225</v>
      </c>
      <c r="F233" s="153" t="s">
        <v>2226</v>
      </c>
      <c r="G233" s="153"/>
      <c r="H233" s="153"/>
      <c r="I233" s="153"/>
      <c r="J233" s="153"/>
      <c r="K233" s="153"/>
      <c r="L233" s="153" t="s">
        <v>1067</v>
      </c>
      <c r="M233" s="153"/>
      <c r="N233" s="153" t="s">
        <v>1068</v>
      </c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  <c r="AC233" s="153"/>
      <c r="AD233" s="153"/>
      <c r="AE233" s="153"/>
      <c r="AF233" s="153"/>
      <c r="AG233" s="153"/>
      <c r="AH233" s="153"/>
      <c r="AI233" s="153"/>
      <c r="AJ233" s="153"/>
      <c r="AK233" s="153"/>
      <c r="AL233" s="153"/>
      <c r="AM233" s="153"/>
      <c r="AN233" s="153"/>
    </row>
    <row r="234" spans="1:40">
      <c r="A234" s="153">
        <v>201</v>
      </c>
      <c r="B234" s="153" t="s">
        <v>1059</v>
      </c>
      <c r="C234" s="153" t="s">
        <v>2227</v>
      </c>
      <c r="D234" s="153">
        <v>7034040303</v>
      </c>
      <c r="E234" s="153" t="s">
        <v>2228</v>
      </c>
      <c r="F234" s="153" t="s">
        <v>2229</v>
      </c>
      <c r="G234" s="153"/>
      <c r="H234" s="153" t="s">
        <v>2230</v>
      </c>
      <c r="I234" s="153" t="s">
        <v>1141</v>
      </c>
      <c r="J234" s="153" t="s">
        <v>916</v>
      </c>
      <c r="K234" s="153">
        <v>20166</v>
      </c>
      <c r="L234" s="153" t="s">
        <v>1067</v>
      </c>
      <c r="M234" s="153"/>
      <c r="N234" s="153" t="s">
        <v>1068</v>
      </c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  <c r="AC234" s="153"/>
      <c r="AD234" s="153"/>
      <c r="AE234" s="153"/>
      <c r="AF234" s="153"/>
      <c r="AG234" s="153"/>
      <c r="AH234" s="153"/>
      <c r="AI234" s="153"/>
      <c r="AJ234" s="153"/>
      <c r="AK234" s="153"/>
      <c r="AL234" s="153"/>
      <c r="AM234" s="153"/>
      <c r="AN234" s="153"/>
    </row>
    <row r="235" spans="1:40">
      <c r="A235" s="153">
        <v>315</v>
      </c>
      <c r="B235" s="153" t="s">
        <v>1059</v>
      </c>
      <c r="C235" s="153" t="s">
        <v>2231</v>
      </c>
      <c r="D235" s="153">
        <v>3042678959</v>
      </c>
      <c r="E235" s="153" t="s">
        <v>2232</v>
      </c>
      <c r="F235" s="153" t="s">
        <v>2233</v>
      </c>
      <c r="G235" s="153"/>
      <c r="H235" s="153" t="s">
        <v>2234</v>
      </c>
      <c r="I235" s="153" t="s">
        <v>2235</v>
      </c>
      <c r="J235" s="153" t="s">
        <v>1275</v>
      </c>
      <c r="K235" s="153">
        <v>25403</v>
      </c>
      <c r="L235" s="153" t="s">
        <v>1067</v>
      </c>
      <c r="M235" s="153"/>
      <c r="N235" s="153" t="s">
        <v>1068</v>
      </c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  <c r="AC235" s="153"/>
      <c r="AD235" s="153"/>
      <c r="AE235" s="153"/>
      <c r="AF235" s="153"/>
      <c r="AG235" s="153"/>
      <c r="AH235" s="153"/>
      <c r="AI235" s="153"/>
      <c r="AJ235" s="153"/>
      <c r="AK235" s="153"/>
      <c r="AL235" s="153"/>
      <c r="AM235" s="153"/>
      <c r="AN235" s="153"/>
    </row>
    <row r="236" spans="1:40">
      <c r="A236" s="153">
        <v>82</v>
      </c>
      <c r="B236" s="153" t="s">
        <v>1059</v>
      </c>
      <c r="C236" s="153" t="s">
        <v>2236</v>
      </c>
      <c r="D236" s="153" t="s">
        <v>2237</v>
      </c>
      <c r="E236" s="153" t="s">
        <v>2238</v>
      </c>
      <c r="F236" s="153" t="s">
        <v>2239</v>
      </c>
      <c r="G236" s="153"/>
      <c r="H236" s="153" t="s">
        <v>2240</v>
      </c>
      <c r="I236" s="153" t="s">
        <v>1066</v>
      </c>
      <c r="J236" s="153" t="s">
        <v>2241</v>
      </c>
      <c r="K236" s="153">
        <v>20705</v>
      </c>
      <c r="L236" s="153" t="s">
        <v>2242</v>
      </c>
      <c r="M236" s="153"/>
      <c r="N236" s="153" t="s">
        <v>1089</v>
      </c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  <c r="AB236" s="153"/>
      <c r="AC236" s="153"/>
      <c r="AD236" s="153"/>
      <c r="AE236" s="153"/>
      <c r="AF236" s="153"/>
      <c r="AG236" s="153"/>
      <c r="AH236" s="153"/>
      <c r="AI236" s="153"/>
      <c r="AJ236" s="153"/>
      <c r="AK236" s="153"/>
      <c r="AL236" s="153"/>
      <c r="AM236" s="153"/>
      <c r="AN236" s="153"/>
    </row>
    <row r="237" spans="1:40">
      <c r="A237" s="153">
        <v>83</v>
      </c>
      <c r="B237" s="153" t="s">
        <v>1059</v>
      </c>
      <c r="C237" s="153" t="s">
        <v>2243</v>
      </c>
      <c r="D237" s="153" t="s">
        <v>2244</v>
      </c>
      <c r="E237" s="153" t="s">
        <v>2245</v>
      </c>
      <c r="F237" s="153" t="s">
        <v>2246</v>
      </c>
      <c r="G237" s="153"/>
      <c r="H237" s="153" t="s">
        <v>2247</v>
      </c>
      <c r="I237" s="153" t="s">
        <v>2248</v>
      </c>
      <c r="J237" s="153" t="s">
        <v>359</v>
      </c>
      <c r="K237" s="153">
        <v>15322</v>
      </c>
      <c r="L237" s="153" t="s">
        <v>2249</v>
      </c>
      <c r="M237" s="153"/>
      <c r="N237" s="153" t="s">
        <v>1089</v>
      </c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  <c r="AB237" s="153"/>
      <c r="AC237" s="153"/>
      <c r="AD237" s="153"/>
      <c r="AE237" s="153"/>
      <c r="AF237" s="153"/>
      <c r="AG237" s="153"/>
      <c r="AH237" s="153"/>
      <c r="AI237" s="153"/>
      <c r="AJ237" s="153"/>
      <c r="AK237" s="153"/>
      <c r="AL237" s="153"/>
      <c r="AM237" s="153"/>
      <c r="AN237" s="153"/>
    </row>
    <row r="238" spans="1:40">
      <c r="A238" s="153">
        <v>84</v>
      </c>
      <c r="B238" s="153" t="s">
        <v>1059</v>
      </c>
      <c r="C238" s="153" t="s">
        <v>2250</v>
      </c>
      <c r="D238" s="153">
        <v>3018318942</v>
      </c>
      <c r="E238" s="153" t="s">
        <v>2251</v>
      </c>
      <c r="F238" s="153" t="s">
        <v>2252</v>
      </c>
      <c r="G238" s="153"/>
      <c r="H238" s="153" t="s">
        <v>2253</v>
      </c>
      <c r="I238" s="153" t="s">
        <v>1415</v>
      </c>
      <c r="J238" s="153" t="s">
        <v>359</v>
      </c>
      <c r="K238" s="153">
        <v>21704</v>
      </c>
      <c r="L238" s="153" t="s">
        <v>2254</v>
      </c>
      <c r="M238" s="153"/>
      <c r="N238" s="153" t="s">
        <v>1068</v>
      </c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  <c r="AB238" s="153"/>
      <c r="AC238" s="153"/>
      <c r="AD238" s="153"/>
      <c r="AE238" s="153"/>
      <c r="AF238" s="153"/>
      <c r="AG238" s="153"/>
      <c r="AH238" s="153"/>
      <c r="AI238" s="153"/>
      <c r="AJ238" s="153"/>
      <c r="AK238" s="153"/>
      <c r="AL238" s="153"/>
      <c r="AM238" s="153"/>
      <c r="AN238" s="153"/>
    </row>
    <row r="239" spans="1:40">
      <c r="A239" s="153">
        <v>85</v>
      </c>
      <c r="B239" s="153" t="s">
        <v>1059</v>
      </c>
      <c r="C239" s="153" t="s">
        <v>2255</v>
      </c>
      <c r="D239" s="153">
        <v>2027230676</v>
      </c>
      <c r="E239" s="153" t="s">
        <v>2256</v>
      </c>
      <c r="F239" s="153" t="s">
        <v>2257</v>
      </c>
      <c r="G239" s="153"/>
      <c r="H239" s="153" t="s">
        <v>2258</v>
      </c>
      <c r="I239" s="153" t="s">
        <v>1096</v>
      </c>
      <c r="J239" s="153" t="s">
        <v>172</v>
      </c>
      <c r="K239" s="153">
        <v>20002</v>
      </c>
      <c r="L239" s="153" t="s">
        <v>2259</v>
      </c>
      <c r="M239" s="153"/>
      <c r="N239" s="153" t="s">
        <v>1068</v>
      </c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  <c r="AB239" s="153"/>
      <c r="AC239" s="153"/>
      <c r="AD239" s="153"/>
      <c r="AE239" s="153"/>
      <c r="AF239" s="153"/>
      <c r="AG239" s="153"/>
      <c r="AH239" s="153"/>
      <c r="AI239" s="153"/>
      <c r="AJ239" s="153"/>
      <c r="AK239" s="153"/>
      <c r="AL239" s="153"/>
      <c r="AM239" s="153"/>
      <c r="AN239" s="153"/>
    </row>
    <row r="240" spans="1:40">
      <c r="A240" s="153">
        <v>86</v>
      </c>
      <c r="B240" s="153" t="s">
        <v>1059</v>
      </c>
      <c r="C240" s="153" t="s">
        <v>2260</v>
      </c>
      <c r="D240" s="153">
        <v>3017290610</v>
      </c>
      <c r="E240" s="153" t="s">
        <v>2261</v>
      </c>
      <c r="F240" s="153" t="s">
        <v>2262</v>
      </c>
      <c r="G240" s="153"/>
      <c r="H240" s="153" t="s">
        <v>2263</v>
      </c>
      <c r="I240" s="153" t="s">
        <v>2030</v>
      </c>
      <c r="J240" s="153" t="s">
        <v>359</v>
      </c>
      <c r="K240" s="153">
        <v>21502</v>
      </c>
      <c r="L240" s="153" t="s">
        <v>1067</v>
      </c>
      <c r="M240" s="153"/>
      <c r="N240" s="153" t="s">
        <v>1068</v>
      </c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  <c r="AB240" s="153"/>
      <c r="AC240" s="153"/>
      <c r="AD240" s="153"/>
      <c r="AE240" s="153"/>
      <c r="AF240" s="153"/>
      <c r="AG240" s="153"/>
      <c r="AH240" s="153"/>
      <c r="AI240" s="153"/>
      <c r="AJ240" s="153"/>
      <c r="AK240" s="153"/>
      <c r="AL240" s="153"/>
      <c r="AM240" s="153"/>
      <c r="AN240" s="153"/>
    </row>
    <row r="241" spans="1:40">
      <c r="A241" s="153">
        <v>332</v>
      </c>
      <c r="B241" s="153" t="s">
        <v>1059</v>
      </c>
      <c r="C241" s="153" t="s">
        <v>2264</v>
      </c>
      <c r="D241" s="153" t="s">
        <v>2265</v>
      </c>
      <c r="E241" s="153" t="s">
        <v>2266</v>
      </c>
      <c r="F241" s="153" t="s">
        <v>2262</v>
      </c>
      <c r="G241" s="153"/>
      <c r="H241" s="153" t="s">
        <v>2263</v>
      </c>
      <c r="I241" s="153" t="s">
        <v>2030</v>
      </c>
      <c r="J241" s="153" t="s">
        <v>359</v>
      </c>
      <c r="K241" s="153">
        <v>21502</v>
      </c>
      <c r="L241" s="153" t="s">
        <v>1067</v>
      </c>
      <c r="M241" s="153"/>
      <c r="N241" s="153" t="s">
        <v>1068</v>
      </c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  <c r="AB241" s="153"/>
      <c r="AC241" s="153"/>
      <c r="AD241" s="153"/>
      <c r="AE241" s="153"/>
      <c r="AF241" s="153"/>
      <c r="AG241" s="153"/>
      <c r="AH241" s="153"/>
      <c r="AI241" s="153"/>
      <c r="AJ241" s="153"/>
      <c r="AK241" s="153"/>
      <c r="AL241" s="153"/>
      <c r="AM241" s="153"/>
      <c r="AN241" s="153"/>
    </row>
    <row r="242" spans="1:40">
      <c r="A242" s="153">
        <v>90</v>
      </c>
      <c r="B242" s="153" t="s">
        <v>1059</v>
      </c>
      <c r="C242" s="153" t="s">
        <v>2267</v>
      </c>
      <c r="D242" s="153">
        <v>7177559030</v>
      </c>
      <c r="E242" s="153" t="s">
        <v>2268</v>
      </c>
      <c r="F242" s="153" t="s">
        <v>2269</v>
      </c>
      <c r="G242" s="153"/>
      <c r="H242" s="153" t="s">
        <v>2270</v>
      </c>
      <c r="I242" s="153" t="s">
        <v>999</v>
      </c>
      <c r="J242" s="153" t="s">
        <v>932</v>
      </c>
      <c r="K242" s="153">
        <v>17402</v>
      </c>
      <c r="L242" s="153" t="s">
        <v>2271</v>
      </c>
      <c r="M242" s="153"/>
      <c r="N242" s="153" t="s">
        <v>1068</v>
      </c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3"/>
      <c r="AK242" s="153"/>
      <c r="AL242" s="153"/>
      <c r="AM242" s="153"/>
      <c r="AN242" s="153"/>
    </row>
    <row r="243" spans="1:40">
      <c r="A243" s="153">
        <v>94</v>
      </c>
      <c r="B243" s="153" t="s">
        <v>1059</v>
      </c>
      <c r="C243" s="153" t="s">
        <v>2272</v>
      </c>
      <c r="D243" s="153" t="s">
        <v>2273</v>
      </c>
      <c r="E243" s="153" t="s">
        <v>2274</v>
      </c>
      <c r="F243" s="153" t="s">
        <v>2275</v>
      </c>
      <c r="G243" s="153"/>
      <c r="H243" s="153" t="s">
        <v>2276</v>
      </c>
      <c r="I243" s="153" t="s">
        <v>1415</v>
      </c>
      <c r="J243" s="153" t="s">
        <v>359</v>
      </c>
      <c r="K243" s="153">
        <v>21701</v>
      </c>
      <c r="L243" s="153" t="s">
        <v>2277</v>
      </c>
      <c r="M243" s="153"/>
      <c r="N243" s="153" t="s">
        <v>1068</v>
      </c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  <c r="AB243" s="153"/>
      <c r="AC243" s="153"/>
      <c r="AD243" s="153"/>
      <c r="AE243" s="153"/>
      <c r="AF243" s="153"/>
      <c r="AG243" s="153"/>
      <c r="AH243" s="153" t="s">
        <v>1276</v>
      </c>
      <c r="AI243" s="153"/>
      <c r="AJ243" s="153"/>
      <c r="AK243" s="153"/>
      <c r="AL243" s="153"/>
      <c r="AM243" s="153"/>
      <c r="AN243" s="153"/>
    </row>
    <row r="244" spans="1:40">
      <c r="A244" s="153">
        <v>100</v>
      </c>
      <c r="B244" s="153" t="s">
        <v>1059</v>
      </c>
      <c r="C244" s="153" t="s">
        <v>2278</v>
      </c>
      <c r="D244" s="153">
        <v>3014306000</v>
      </c>
      <c r="E244" s="153" t="s">
        <v>2279</v>
      </c>
      <c r="F244" s="153" t="s">
        <v>2280</v>
      </c>
      <c r="G244" s="153"/>
      <c r="H244" s="153" t="s">
        <v>2281</v>
      </c>
      <c r="I244" s="153" t="s">
        <v>1624</v>
      </c>
      <c r="J244" s="153" t="s">
        <v>359</v>
      </c>
      <c r="K244" s="153">
        <v>20774</v>
      </c>
      <c r="L244" s="153" t="s">
        <v>2282</v>
      </c>
      <c r="M244" s="153"/>
      <c r="N244" s="153" t="s">
        <v>1068</v>
      </c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  <c r="AB244" s="153"/>
      <c r="AC244" s="153"/>
      <c r="AD244" s="153"/>
      <c r="AE244" s="153"/>
      <c r="AF244" s="153"/>
      <c r="AG244" s="153"/>
      <c r="AH244" s="153"/>
      <c r="AI244" s="153"/>
      <c r="AJ244" s="153"/>
      <c r="AK244" s="153"/>
      <c r="AL244" s="153"/>
      <c r="AM244" s="153"/>
      <c r="AN244" s="153"/>
    </row>
    <row r="245" spans="1:40">
      <c r="A245" s="153">
        <v>283</v>
      </c>
      <c r="B245" s="153" t="s">
        <v>1059</v>
      </c>
      <c r="C245" s="153" t="s">
        <v>2283</v>
      </c>
      <c r="D245" s="153" t="s">
        <v>2284</v>
      </c>
      <c r="E245" s="153" t="s">
        <v>1139</v>
      </c>
      <c r="F245" s="153"/>
      <c r="G245" s="153"/>
      <c r="H245" s="153"/>
      <c r="I245" s="153"/>
      <c r="J245" s="153"/>
      <c r="K245" s="153"/>
      <c r="L245" s="153" t="s">
        <v>2285</v>
      </c>
      <c r="M245" s="153"/>
      <c r="N245" s="153" t="s">
        <v>1068</v>
      </c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  <c r="AC245" s="153"/>
      <c r="AD245" s="153"/>
      <c r="AE245" s="153"/>
      <c r="AF245" s="153"/>
      <c r="AG245" s="153"/>
      <c r="AH245" s="153"/>
      <c r="AI245" s="153"/>
      <c r="AJ245" s="153"/>
      <c r="AK245" s="153"/>
      <c r="AL245" s="153"/>
      <c r="AM245" s="153"/>
      <c r="AN245" s="153"/>
    </row>
    <row r="246" spans="1:40">
      <c r="A246" s="153">
        <v>110</v>
      </c>
      <c r="B246" s="153" t="s">
        <v>1059</v>
      </c>
      <c r="C246" s="153" t="s">
        <v>2286</v>
      </c>
      <c r="D246" s="153">
        <v>3019489141</v>
      </c>
      <c r="E246" s="153" t="s">
        <v>2287</v>
      </c>
      <c r="F246" s="153" t="s">
        <v>2288</v>
      </c>
      <c r="G246" s="153"/>
      <c r="H246" s="153" t="s">
        <v>2289</v>
      </c>
      <c r="I246" s="153" t="s">
        <v>1262</v>
      </c>
      <c r="J246" s="153" t="s">
        <v>359</v>
      </c>
      <c r="K246" s="153">
        <v>20877</v>
      </c>
      <c r="L246" s="153" t="s">
        <v>2290</v>
      </c>
      <c r="M246" s="153"/>
      <c r="N246" s="153" t="s">
        <v>1089</v>
      </c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  <c r="AB246" s="153"/>
      <c r="AC246" s="153"/>
      <c r="AD246" s="153"/>
      <c r="AE246" s="153"/>
      <c r="AF246" s="153"/>
      <c r="AG246" s="153"/>
      <c r="AH246" s="153"/>
      <c r="AI246" s="153"/>
      <c r="AJ246" s="153"/>
      <c r="AK246" s="153"/>
      <c r="AL246" s="153"/>
      <c r="AM246" s="153"/>
      <c r="AN246" s="153"/>
    </row>
    <row r="247" spans="1:40">
      <c r="A247" s="153">
        <v>342</v>
      </c>
      <c r="B247" s="153" t="s">
        <v>1059</v>
      </c>
      <c r="C247" s="153" t="s">
        <v>2291</v>
      </c>
      <c r="D247" s="153">
        <v>3013907134</v>
      </c>
      <c r="E247" s="153"/>
      <c r="F247" s="153"/>
      <c r="G247" s="153"/>
      <c r="H247" s="153" t="s">
        <v>2292</v>
      </c>
      <c r="I247" s="153" t="s">
        <v>2180</v>
      </c>
      <c r="J247" s="153" t="s">
        <v>359</v>
      </c>
      <c r="K247" s="153">
        <v>20602</v>
      </c>
      <c r="L247" s="153" t="s">
        <v>1067</v>
      </c>
      <c r="M247" s="153"/>
      <c r="N247" s="153" t="s">
        <v>1068</v>
      </c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  <c r="AB247" s="153"/>
      <c r="AC247" s="153"/>
      <c r="AD247" s="153"/>
      <c r="AE247" s="153"/>
      <c r="AF247" s="153"/>
      <c r="AG247" s="153"/>
      <c r="AH247" s="153"/>
      <c r="AI247" s="153"/>
      <c r="AJ247" s="153"/>
      <c r="AK247" s="153"/>
      <c r="AL247" s="153"/>
      <c r="AM247" s="153"/>
      <c r="AN247" s="153"/>
    </row>
    <row r="248" spans="1:40">
      <c r="A248" s="153">
        <v>250</v>
      </c>
      <c r="B248" s="153" t="s">
        <v>1059</v>
      </c>
      <c r="C248" s="153" t="s">
        <v>2293</v>
      </c>
      <c r="D248" s="153">
        <v>3015411017</v>
      </c>
      <c r="E248" s="153" t="s">
        <v>2294</v>
      </c>
      <c r="F248" s="153" t="s">
        <v>2295</v>
      </c>
      <c r="G248" s="153"/>
      <c r="H248" s="153" t="s">
        <v>2296</v>
      </c>
      <c r="I248" s="153" t="s">
        <v>1087</v>
      </c>
      <c r="J248" s="153" t="s">
        <v>359</v>
      </c>
      <c r="K248" s="153">
        <v>20743</v>
      </c>
      <c r="L248" s="153" t="s">
        <v>1067</v>
      </c>
      <c r="M248" s="153"/>
      <c r="N248" s="153" t="s">
        <v>1068</v>
      </c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  <c r="AB248" s="153"/>
      <c r="AC248" s="153"/>
      <c r="AD248" s="153"/>
      <c r="AE248" s="153"/>
      <c r="AF248" s="153"/>
      <c r="AG248" s="153"/>
      <c r="AH248" s="153"/>
      <c r="AI248" s="153"/>
      <c r="AJ248" s="153"/>
      <c r="AK248" s="153"/>
      <c r="AL248" s="153"/>
      <c r="AM248" s="153"/>
      <c r="AN248" s="153"/>
    </row>
    <row r="249" spans="1:40">
      <c r="A249" s="153">
        <v>391</v>
      </c>
      <c r="B249" s="153" t="s">
        <v>1059</v>
      </c>
      <c r="C249" s="153" t="s">
        <v>2297</v>
      </c>
      <c r="D249" s="153" t="s">
        <v>2298</v>
      </c>
      <c r="E249" s="153"/>
      <c r="F249" s="153"/>
      <c r="G249" s="153"/>
      <c r="H249" s="153" t="s">
        <v>2299</v>
      </c>
      <c r="I249" s="153" t="s">
        <v>1175</v>
      </c>
      <c r="J249" s="153" t="s">
        <v>359</v>
      </c>
      <c r="K249" s="153">
        <v>20707</v>
      </c>
      <c r="L249" s="153" t="s">
        <v>1067</v>
      </c>
      <c r="M249" s="153"/>
      <c r="N249" s="153" t="s">
        <v>1068</v>
      </c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  <c r="AC249" s="153"/>
      <c r="AD249" s="153"/>
      <c r="AE249" s="153"/>
      <c r="AF249" s="153"/>
      <c r="AG249" s="153"/>
      <c r="AH249" s="153"/>
      <c r="AI249" s="153"/>
      <c r="AJ249" s="153"/>
      <c r="AK249" s="153"/>
      <c r="AL249" s="153"/>
      <c r="AM249" s="153"/>
      <c r="AN249" s="153"/>
    </row>
    <row r="250" spans="1:40">
      <c r="A250" s="153">
        <v>287</v>
      </c>
      <c r="B250" s="153" t="s">
        <v>1059</v>
      </c>
      <c r="C250" s="153" t="s">
        <v>2300</v>
      </c>
      <c r="D250" s="153" t="s">
        <v>2301</v>
      </c>
      <c r="E250" s="153" t="s">
        <v>2302</v>
      </c>
      <c r="F250" s="153" t="s">
        <v>2303</v>
      </c>
      <c r="G250" s="153"/>
      <c r="H250" s="153" t="s">
        <v>2304</v>
      </c>
      <c r="I250" s="153" t="s">
        <v>1457</v>
      </c>
      <c r="J250" s="153" t="s">
        <v>359</v>
      </c>
      <c r="K250" s="153">
        <v>20706</v>
      </c>
      <c r="L250" s="153" t="s">
        <v>1067</v>
      </c>
      <c r="M250" s="153"/>
      <c r="N250" s="153" t="s">
        <v>1068</v>
      </c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  <c r="AB250" s="153"/>
      <c r="AC250" s="153"/>
      <c r="AD250" s="153"/>
      <c r="AE250" s="153"/>
      <c r="AF250" s="153"/>
      <c r="AG250" s="153"/>
      <c r="AH250" s="153"/>
      <c r="AI250" s="153"/>
      <c r="AJ250" s="153"/>
      <c r="AK250" s="153"/>
      <c r="AL250" s="153"/>
      <c r="AM250" s="153"/>
      <c r="AN250" s="153"/>
    </row>
    <row r="251" spans="1:40">
      <c r="C251" s="154" t="s">
        <v>2305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16686BC391734F89D63E6242D19512" ma:contentTypeVersion="3" ma:contentTypeDescription="Create a new document." ma:contentTypeScope="" ma:versionID="79c7df452f33a1992dcb30b45a1e0191">
  <xsd:schema xmlns:xsd="http://www.w3.org/2001/XMLSchema" xmlns:xs="http://www.w3.org/2001/XMLSchema" xmlns:p="http://schemas.microsoft.com/office/2006/metadata/properties" xmlns:ns2="3672cf9e-74f9-4e7a-b516-ad01cd37bdf8" targetNamespace="http://schemas.microsoft.com/office/2006/metadata/properties" ma:root="true" ma:fieldsID="58b9288dcec6de6ca8fe78819d207972" ns2:_="">
    <xsd:import namespace="3672cf9e-74f9-4e7a-b516-ad01cd37bd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2cf9e-74f9-4e7a-b516-ad01cd37bd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E5B317-43E8-45F9-895F-7C4CA3FC0AB8}"/>
</file>

<file path=customXml/itemProps2.xml><?xml version="1.0" encoding="utf-8"?>
<ds:datastoreItem xmlns:ds="http://schemas.openxmlformats.org/officeDocument/2006/customXml" ds:itemID="{1E71A220-E92F-4DC5-BE0A-6F13B7626DA5}"/>
</file>

<file path=customXml/itemProps3.xml><?xml version="1.0" encoding="utf-8"?>
<ds:datastoreItem xmlns:ds="http://schemas.openxmlformats.org/officeDocument/2006/customXml" ds:itemID="{46B9B69A-A6DF-4685-8488-2E24CBD41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 Shams</dc:creator>
  <cp:keywords/>
  <dc:description/>
  <cp:lastModifiedBy/>
  <cp:revision/>
  <dcterms:created xsi:type="dcterms:W3CDTF">2025-12-28T03:02:07Z</dcterms:created>
  <dcterms:modified xsi:type="dcterms:W3CDTF">2026-05-22T18:22:37Z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32b636-b3f1-43db-b9f0-16d007dcb9f6_Enabled">
    <vt:lpwstr>true</vt:lpwstr>
  </property>
  <property fmtid="{D5CDD505-2E9C-101B-9397-08002B2CF9AE}" pid="3" name="MSIP_Label_d632b636-b3f1-43db-b9f0-16d007dcb9f6_SetDate">
    <vt:lpwstr>2026-03-04T15:31:48Z</vt:lpwstr>
  </property>
  <property fmtid="{D5CDD505-2E9C-101B-9397-08002B2CF9AE}" pid="4" name="MSIP_Label_d632b636-b3f1-43db-b9f0-16d007dcb9f6_Method">
    <vt:lpwstr>Privileged</vt:lpwstr>
  </property>
  <property fmtid="{D5CDD505-2E9C-101B-9397-08002B2CF9AE}" pid="5" name="MSIP_Label_d632b636-b3f1-43db-b9f0-16d007dcb9f6_Name">
    <vt:lpwstr>Confidential-No forwarding</vt:lpwstr>
  </property>
  <property fmtid="{D5CDD505-2E9C-101B-9397-08002B2CF9AE}" pid="6" name="MSIP_Label_d632b636-b3f1-43db-b9f0-16d007dcb9f6_SiteId">
    <vt:lpwstr>7de5ed0e-b8b2-4a47-bc00-5776ddd2ea3c</vt:lpwstr>
  </property>
  <property fmtid="{D5CDD505-2E9C-101B-9397-08002B2CF9AE}" pid="7" name="MSIP_Label_d632b636-b3f1-43db-b9f0-16d007dcb9f6_ActionId">
    <vt:lpwstr>ea3d4a53-b22f-40f8-a916-80b79a2ca903</vt:lpwstr>
  </property>
  <property fmtid="{D5CDD505-2E9C-101B-9397-08002B2CF9AE}" pid="8" name="MSIP_Label_d632b636-b3f1-43db-b9f0-16d007dcb9f6_ContentBits">
    <vt:lpwstr>8</vt:lpwstr>
  </property>
  <property fmtid="{D5CDD505-2E9C-101B-9397-08002B2CF9AE}" pid="9" name="MSIP_Label_d632b636-b3f1-43db-b9f0-16d007dcb9f6_Tag">
    <vt:lpwstr>10, 0, 1, 1</vt:lpwstr>
  </property>
  <property fmtid="{D5CDD505-2E9C-101B-9397-08002B2CF9AE}" pid="10" name="ContentTypeId">
    <vt:lpwstr>0x0101002E16686BC391734F89D63E6242D19512</vt:lpwstr>
  </property>
</Properties>
</file>